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A" sheetId="1" state="visible" r:id="rId1"/>
    <sheet name="UCI" sheetId="2" state="visible" r:id="rId2"/>
    <sheet name="BAFM" sheetId="3" state="visible" r:id="rId3"/>
    <sheet name="GAP-FM" sheetId="4" state="visible" r:id="rId4"/>
    <sheet name="SDAB" sheetId="5" state="visible" r:id="rId5"/>
    <sheet name="Fabricante" sheetId="6" state="visible" r:id="rId6"/>
    <sheet name="RESUM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b val="1"/>
      <color rgb="00C0392B"/>
      <sz val="9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b val="1"/>
      <color rgb="00000000"/>
      <sz val="10"/>
    </font>
    <font>
      <name val="Calibri"/>
      <b val="1"/>
      <color rgb="00000000"/>
      <sz val="14"/>
    </font>
    <font>
      <name val="Calibri"/>
      <b val="1"/>
      <color rgb="00FFFFFF"/>
      <sz val="15"/>
    </font>
    <font>
      <name val="Calibri"/>
      <b val="1"/>
      <i val="1"/>
      <color rgb="00C0392B"/>
      <sz val="11"/>
    </font>
    <font>
      <name val="Calibri"/>
      <b val="1"/>
      <color rgb="00000000"/>
      <sz val="11"/>
    </font>
    <font>
      <name val="Calibri"/>
      <b val="1"/>
      <color rgb="00000000"/>
      <sz val="12"/>
    </font>
    <font>
      <name val="Calibri"/>
      <i val="1"/>
      <color rgb="009E9E9E"/>
      <sz val="10"/>
    </font>
  </fonts>
  <fills count="23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C0392B"/>
      </patternFill>
    </fill>
    <fill>
      <patternFill patternType="solid">
        <fgColor rgb="00FFFFFF"/>
      </patternFill>
    </fill>
    <fill>
      <patternFill patternType="solid">
        <fgColor rgb="00FFE0B2"/>
      </patternFill>
    </fill>
    <fill>
      <patternFill patternType="solid">
        <fgColor rgb="00FFF3E0"/>
      </patternFill>
    </fill>
    <fill>
      <patternFill patternType="solid">
        <fgColor rgb="0037474F"/>
      </patternFill>
    </fill>
    <fill>
      <patternFill patternType="solid">
        <fgColor rgb="00546E7A"/>
      </patternFill>
    </fill>
    <fill>
      <patternFill patternType="solid">
        <fgColor rgb="0078909C"/>
      </patternFill>
    </fill>
    <fill>
      <patternFill patternType="solid">
        <fgColor rgb="00455A64"/>
      </patternFill>
    </fill>
    <fill>
      <patternFill patternType="solid">
        <fgColor rgb="001B5E20"/>
      </patternFill>
    </fill>
    <fill>
      <patternFill patternType="solid">
        <fgColor rgb="002E7D32"/>
      </patternFill>
    </fill>
    <fill>
      <patternFill patternType="solid">
        <fgColor rgb="006A1B9A"/>
      </patternFill>
    </fill>
    <fill>
      <patternFill patternType="solid">
        <fgColor rgb="004A148C"/>
      </patternFill>
    </fill>
    <fill>
      <patternFill patternType="solid">
        <fgColor rgb="00F9A825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EDE7F6"/>
      </patternFill>
    </fill>
    <fill>
      <patternFill patternType="solid">
        <fgColor rgb="00D1C4E9"/>
      </patternFill>
    </fill>
    <fill>
      <patternFill patternType="solid">
        <fgColor rgb="00FFF176"/>
      </patternFill>
    </fill>
    <fill>
      <patternFill patternType="solid">
        <fgColor rgb="00F5F5F5"/>
      </patternFill>
    </fill>
    <fill>
      <patternFill patternType="solid">
        <fgColor rgb="00E3F2F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164" fontId="0" fillId="18" borderId="1" applyAlignment="1" pivotButton="0" quotePrefix="0" xfId="0">
      <alignment horizontal="center" vertical="center"/>
    </xf>
    <xf numFmtId="164" fontId="7" fillId="19" borderId="1" applyAlignment="1" pivotButton="0" quotePrefix="0" xfId="0">
      <alignment horizontal="center" vertical="center"/>
    </xf>
    <xf numFmtId="0" fontId="8" fillId="20" borderId="2" applyAlignment="1" pivotButton="0" quotePrefix="0" xfId="0">
      <alignment horizontal="center" vertical="center"/>
    </xf>
    <xf numFmtId="0" fontId="7" fillId="21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164" fontId="0" fillId="4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left" vertical="center"/>
    </xf>
    <xf numFmtId="164" fontId="0" fillId="21" borderId="1" applyAlignment="1" pivotButton="0" quotePrefix="0" xfId="0">
      <alignment horizontal="center" vertical="center"/>
    </xf>
    <xf numFmtId="0" fontId="11" fillId="15" borderId="1" applyAlignment="1" pivotButton="0" quotePrefix="0" xfId="0">
      <alignment horizontal="center" vertical="center"/>
    </xf>
    <xf numFmtId="0" fontId="0" fillId="15" borderId="1" pivotButton="0" quotePrefix="0" xfId="0"/>
    <xf numFmtId="164" fontId="12" fillId="15" borderId="1" applyAlignment="1" pivotButton="0" quotePrefix="0" xfId="0">
      <alignment horizontal="center" vertical="center"/>
    </xf>
    <xf numFmtId="0" fontId="7" fillId="22" borderId="1" applyAlignment="1" pivotButton="0" quotePrefix="0" xfId="0">
      <alignment horizontal="left" vertical="center"/>
    </xf>
    <xf numFmtId="0" fontId="13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Efeito Chicote — Pedidos por Elo da Cadeia</a:t>
            </a:r>
          </a:p>
        </rich>
      </tx>
    </title>
    <plotArea>
      <lineChart>
        <grouping val="standard"/>
        <ser>
          <idx val="0"/>
          <order val="0"/>
          <tx>
            <strRef>
              <f>'RESUMO'!B14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'RESUMO'!$A$15:$A$29</f>
            </numRef>
          </cat>
          <val>
            <numRef>
              <f>'RESUMO'!$B$15:$B$29</f>
            </numRef>
          </val>
        </ser>
        <ser>
          <idx val="1"/>
          <order val="1"/>
          <tx>
            <strRef>
              <f>'RESUMO'!C14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'RESUMO'!$A$15:$A$29</f>
            </numRef>
          </cat>
          <val>
            <numRef>
              <f>'RESUMO'!$C$15:$C$29</f>
            </numRef>
          </val>
        </ser>
        <ser>
          <idx val="2"/>
          <order val="2"/>
          <tx>
            <strRef>
              <f>'RESUMO'!D14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'RESUMO'!$A$15:$A$29</f>
            </numRef>
          </cat>
          <val>
            <numRef>
              <f>'RESUMO'!$D$15:$D$29</f>
            </numRef>
          </val>
        </ser>
        <ser>
          <idx val="3"/>
          <order val="3"/>
          <tx>
            <strRef>
              <f>'RESUMO'!E14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'RESUMO'!$A$15:$A$29</f>
            </numRef>
          </cat>
          <val>
            <numRef>
              <f>'RESUMO'!$E$15:$E$29</f>
            </numRef>
          </val>
        </ser>
        <ser>
          <idx val="4"/>
          <order val="4"/>
          <tx>
            <strRef>
              <f>'RESUMO'!F14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'RESUMO'!$A$15:$A$29</f>
            </numRef>
          </cat>
          <val>
            <numRef>
              <f>'RESUMO'!$F$15:$F$29</f>
            </numRef>
          </val>
        </ser>
        <ser>
          <idx val="5"/>
          <order val="5"/>
          <tx>
            <strRef>
              <f>'RESUMO'!G14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'RESUMO'!$A$15:$A$29</f>
            </numRef>
          </cat>
          <val>
            <numRef>
              <f>'RESUMO'!$G$15:$G$29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Semana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Unidades Pedidas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936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</cols>
  <sheetData>
    <row r="1" ht="22" customHeight="1">
      <c r="A1" s="1" t="inlineStr">
        <is>
          <t>🦑 CONTROLE DE DEMANDA — SOMENTE FACILITADOR</t>
        </is>
      </c>
    </row>
    <row r="2">
      <c r="A2" s="2" t="inlineStr">
        <is>
          <t>Semana</t>
        </is>
      </c>
      <c r="B2" s="2" t="inlineStr">
        <is>
          <t>Demanda Real</t>
        </is>
      </c>
      <c r="C2" s="2" t="inlineStr">
        <is>
          <t>Observação</t>
        </is>
      </c>
    </row>
    <row r="3">
      <c r="A3" s="3" t="n">
        <v>1</v>
      </c>
      <c r="B3" s="3" t="n">
        <v>4</v>
      </c>
      <c r="C3" s="3" t="inlineStr">
        <is>
          <t>Normal</t>
        </is>
      </c>
    </row>
    <row r="4">
      <c r="A4" s="3" t="n">
        <v>2</v>
      </c>
      <c r="B4" s="3" t="n">
        <v>4</v>
      </c>
      <c r="C4" s="3" t="inlineStr">
        <is>
          <t>Normal</t>
        </is>
      </c>
    </row>
    <row r="5">
      <c r="A5" s="3" t="n">
        <v>3</v>
      </c>
      <c r="B5" s="3" t="n">
        <v>4</v>
      </c>
      <c r="C5" s="3" t="inlineStr">
        <is>
          <t>Normal</t>
        </is>
      </c>
    </row>
    <row r="6">
      <c r="A6" s="3" t="n">
        <v>4</v>
      </c>
      <c r="B6" s="3" t="n">
        <v>4</v>
      </c>
      <c r="C6" s="3" t="inlineStr">
        <is>
          <t>Normal</t>
        </is>
      </c>
    </row>
    <row r="7">
      <c r="A7" s="4" t="n">
        <v>5</v>
      </c>
      <c r="B7" s="4" t="n">
        <v>8</v>
      </c>
      <c r="C7" s="4" t="inlineStr">
        <is>
          <t>⚡ PICO DO KRAKEN!</t>
        </is>
      </c>
    </row>
    <row r="8">
      <c r="A8" s="3" t="n">
        <v>6</v>
      </c>
      <c r="B8" s="3" t="n">
        <v>4</v>
      </c>
      <c r="C8" s="3" t="inlineStr">
        <is>
          <t>Normal</t>
        </is>
      </c>
    </row>
    <row r="9">
      <c r="A9" s="3" t="n">
        <v>7</v>
      </c>
      <c r="B9" s="3" t="n">
        <v>4</v>
      </c>
      <c r="C9" s="3" t="inlineStr">
        <is>
          <t>Normal</t>
        </is>
      </c>
    </row>
    <row r="10">
      <c r="A10" s="3" t="n">
        <v>8</v>
      </c>
      <c r="B10" s="3" t="n">
        <v>4</v>
      </c>
      <c r="C10" s="3" t="inlineStr">
        <is>
          <t>Normal</t>
        </is>
      </c>
    </row>
    <row r="11">
      <c r="A11" s="3" t="n">
        <v>9</v>
      </c>
      <c r="B11" s="3" t="n">
        <v>4</v>
      </c>
      <c r="C11" s="3" t="inlineStr">
        <is>
          <t>Normal</t>
        </is>
      </c>
    </row>
    <row r="12">
      <c r="A12" s="3" t="n">
        <v>10</v>
      </c>
      <c r="B12" s="3" t="n">
        <v>4</v>
      </c>
      <c r="C12" s="3" t="inlineStr">
        <is>
          <t>Normal</t>
        </is>
      </c>
    </row>
    <row r="13">
      <c r="A13" s="3" t="n">
        <v>11</v>
      </c>
      <c r="B13" s="3" t="n">
        <v>4</v>
      </c>
      <c r="C13" s="3" t="inlineStr">
        <is>
          <t>Normal</t>
        </is>
      </c>
    </row>
    <row r="14">
      <c r="A14" s="3" t="n">
        <v>12</v>
      </c>
      <c r="B14" s="3" t="n">
        <v>4</v>
      </c>
      <c r="C14" s="3" t="inlineStr">
        <is>
          <t>Normal</t>
        </is>
      </c>
    </row>
    <row r="15">
      <c r="A15" s="3" t="n">
        <v>13</v>
      </c>
      <c r="B15" s="3" t="n">
        <v>4</v>
      </c>
      <c r="C15" s="3" t="inlineStr">
        <is>
          <t>Normal</t>
        </is>
      </c>
    </row>
    <row r="16">
      <c r="A16" s="3" t="n">
        <v>14</v>
      </c>
      <c r="B16" s="3" t="n">
        <v>4</v>
      </c>
      <c r="C16" s="3" t="inlineStr">
        <is>
          <t>Normal</t>
        </is>
      </c>
    </row>
    <row r="17">
      <c r="A17" s="3" t="n">
        <v>15</v>
      </c>
      <c r="B17" s="3" t="n">
        <v>4</v>
      </c>
      <c r="C17" s="3" t="inlineStr">
        <is>
          <t>Normal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11" customWidth="1" min="3" max="3"/>
    <col width="11" customWidth="1" min="4" max="4"/>
    <col width="10" customWidth="1" min="5" max="5"/>
    <col width="8" customWidth="1" min="6" max="6"/>
    <col width="11" customWidth="1" min="7" max="7"/>
    <col width="11" customWidth="1" min="8" max="8"/>
    <col width="13" customWidth="1" min="9" max="9"/>
    <col width="15" customWidth="1" min="10" max="10"/>
    <col width="14" customWidth="1" min="11" max="11"/>
  </cols>
  <sheetData>
    <row r="1" ht="21" customHeight="1">
      <c r="A1" s="5" t="inlineStr">
        <is>
          <t>🦑 OPERAÇÃO KRAKEN  |  ALMOX DA UCI</t>
        </is>
      </c>
    </row>
    <row r="2">
      <c r="A2" s="6" t="inlineStr">
        <is>
          <t>⚠️  Preencha APENAS a coluna amarela "MEU PEDIDO". Não altere as outras células!</t>
        </is>
      </c>
    </row>
    <row r="3" ht="34" customHeight="1">
      <c r="A3" s="7" t="inlineStr">
        <is>
          <t>Semana</t>
        </is>
      </c>
      <c r="B3" s="8" t="inlineStr">
        <is>
          <t>Chegou</t>
        </is>
      </c>
      <c r="C3" s="9" t="inlineStr">
        <is>
          <t>Pedido
Recebido</t>
        </is>
      </c>
      <c r="D3" s="10" t="inlineStr">
        <is>
          <t>Backorder
Herdado</t>
        </is>
      </c>
      <c r="E3" s="11" t="inlineStr">
        <is>
          <t>Disponível</t>
        </is>
      </c>
      <c r="F3" s="12" t="inlineStr">
        <is>
          <t>Atendi</t>
        </is>
      </c>
      <c r="G3" s="13" t="inlineStr">
        <is>
          <t>Backorder
Novo</t>
        </is>
      </c>
      <c r="H3" s="14" t="inlineStr">
        <is>
          <t>Estoque
Final</t>
        </is>
      </c>
      <c r="I3" s="15" t="inlineStr">
        <is>
          <t>Custo
Semana</t>
        </is>
      </c>
      <c r="J3" s="16" t="inlineStr">
        <is>
          <t>Custo
Acumulado</t>
        </is>
      </c>
      <c r="K3" s="17" t="inlineStr">
        <is>
          <t>MEU
PEDIDO ▼</t>
        </is>
      </c>
    </row>
    <row r="4">
      <c r="A4" s="18" t="n">
        <v>1</v>
      </c>
      <c r="B4" s="3" t="n">
        <v>4</v>
      </c>
      <c r="C4" s="3">
        <f>DEMANDA!B3</f>
        <v/>
      </c>
      <c r="D4" s="3" t="n">
        <v>0</v>
      </c>
      <c r="E4" s="3">
        <f>8+B4</f>
        <v/>
      </c>
      <c r="F4" s="19">
        <f>MIN(E4,C4+D4)</f>
        <v/>
      </c>
      <c r="G4" s="20">
        <f>MAX(0,C4+D4-E4)</f>
        <v/>
      </c>
      <c r="H4" s="19">
        <f>MAX(0,E4-F4)</f>
        <v/>
      </c>
      <c r="I4" s="21">
        <f>H4*50+G4*100</f>
        <v/>
      </c>
      <c r="J4" s="22">
        <f>I4</f>
        <v/>
      </c>
      <c r="K4" s="23" t="n"/>
    </row>
    <row r="5">
      <c r="A5" s="24" t="n">
        <v>2</v>
      </c>
      <c r="B5" s="25" t="n">
        <v>4</v>
      </c>
      <c r="C5" s="25">
        <f>DEMANDA!B4</f>
        <v/>
      </c>
      <c r="D5" s="25">
        <f>G4</f>
        <v/>
      </c>
      <c r="E5" s="25">
        <f>H4+B5</f>
        <v/>
      </c>
      <c r="F5" s="19">
        <f>MIN(E5,C5+D5)</f>
        <v/>
      </c>
      <c r="G5" s="20">
        <f>MAX(0,C5+D5-E5)</f>
        <v/>
      </c>
      <c r="H5" s="19">
        <f>MAX(0,E5-F5)</f>
        <v/>
      </c>
      <c r="I5" s="21">
        <f>H5*50+G5*100</f>
        <v/>
      </c>
      <c r="J5" s="22">
        <f>J4+I5</f>
        <v/>
      </c>
      <c r="K5" s="23" t="n"/>
    </row>
    <row r="6">
      <c r="A6" s="18" t="n">
        <v>3</v>
      </c>
      <c r="B6" s="3">
        <f>BAFM!F4</f>
        <v/>
      </c>
      <c r="C6" s="3">
        <f>DEMANDA!B5</f>
        <v/>
      </c>
      <c r="D6" s="3">
        <f>G5</f>
        <v/>
      </c>
      <c r="E6" s="3">
        <f>H5+B6</f>
        <v/>
      </c>
      <c r="F6" s="19">
        <f>MIN(E6,C6+D6)</f>
        <v/>
      </c>
      <c r="G6" s="20">
        <f>MAX(0,C6+D6-E6)</f>
        <v/>
      </c>
      <c r="H6" s="19">
        <f>MAX(0,E6-F6)</f>
        <v/>
      </c>
      <c r="I6" s="21">
        <f>H6*50+G6*100</f>
        <v/>
      </c>
      <c r="J6" s="22">
        <f>J5+I6</f>
        <v/>
      </c>
      <c r="K6" s="23" t="n"/>
    </row>
    <row r="7">
      <c r="A7" s="24" t="n">
        <v>4</v>
      </c>
      <c r="B7" s="25">
        <f>BAFM!F5</f>
        <v/>
      </c>
      <c r="C7" s="25">
        <f>DEMANDA!B6</f>
        <v/>
      </c>
      <c r="D7" s="25">
        <f>G6</f>
        <v/>
      </c>
      <c r="E7" s="25">
        <f>H6+B7</f>
        <v/>
      </c>
      <c r="F7" s="19">
        <f>MIN(E7,C7+D7)</f>
        <v/>
      </c>
      <c r="G7" s="20">
        <f>MAX(0,C7+D7-E7)</f>
        <v/>
      </c>
      <c r="H7" s="19">
        <f>MAX(0,E7-F7)</f>
        <v/>
      </c>
      <c r="I7" s="21">
        <f>H7*50+G7*100</f>
        <v/>
      </c>
      <c r="J7" s="22">
        <f>J6+I7</f>
        <v/>
      </c>
      <c r="K7" s="23" t="n"/>
    </row>
    <row r="8">
      <c r="A8" s="18" t="n">
        <v>5</v>
      </c>
      <c r="B8" s="3">
        <f>BAFM!F6</f>
        <v/>
      </c>
      <c r="C8" s="3">
        <f>DEMANDA!B7</f>
        <v/>
      </c>
      <c r="D8" s="3">
        <f>G7</f>
        <v/>
      </c>
      <c r="E8" s="3">
        <f>H7+B8</f>
        <v/>
      </c>
      <c r="F8" s="19">
        <f>MIN(E8,C8+D8)</f>
        <v/>
      </c>
      <c r="G8" s="20">
        <f>MAX(0,C8+D8-E8)</f>
        <v/>
      </c>
      <c r="H8" s="19">
        <f>MAX(0,E8-F8)</f>
        <v/>
      </c>
      <c r="I8" s="21">
        <f>H8*50+G8*100</f>
        <v/>
      </c>
      <c r="J8" s="22">
        <f>J7+I8</f>
        <v/>
      </c>
      <c r="K8" s="23" t="n"/>
    </row>
    <row r="9">
      <c r="A9" s="24" t="n">
        <v>6</v>
      </c>
      <c r="B9" s="25">
        <f>BAFM!F7</f>
        <v/>
      </c>
      <c r="C9" s="25">
        <f>DEMANDA!B8</f>
        <v/>
      </c>
      <c r="D9" s="25">
        <f>G8</f>
        <v/>
      </c>
      <c r="E9" s="25">
        <f>H8+B9</f>
        <v/>
      </c>
      <c r="F9" s="19">
        <f>MIN(E9,C9+D9)</f>
        <v/>
      </c>
      <c r="G9" s="20">
        <f>MAX(0,C9+D9-E9)</f>
        <v/>
      </c>
      <c r="H9" s="19">
        <f>MAX(0,E9-F9)</f>
        <v/>
      </c>
      <c r="I9" s="21">
        <f>H9*50+G9*100</f>
        <v/>
      </c>
      <c r="J9" s="22">
        <f>J8+I9</f>
        <v/>
      </c>
      <c r="K9" s="23" t="n"/>
    </row>
    <row r="10">
      <c r="A10" s="18" t="n">
        <v>7</v>
      </c>
      <c r="B10" s="3">
        <f>BAFM!F8</f>
        <v/>
      </c>
      <c r="C10" s="3">
        <f>DEMANDA!B9</f>
        <v/>
      </c>
      <c r="D10" s="3">
        <f>G9</f>
        <v/>
      </c>
      <c r="E10" s="3">
        <f>H9+B10</f>
        <v/>
      </c>
      <c r="F10" s="19">
        <f>MIN(E10,C10+D10)</f>
        <v/>
      </c>
      <c r="G10" s="20">
        <f>MAX(0,C10+D10-E10)</f>
        <v/>
      </c>
      <c r="H10" s="19">
        <f>MAX(0,E10-F10)</f>
        <v/>
      </c>
      <c r="I10" s="21">
        <f>H10*50+G10*100</f>
        <v/>
      </c>
      <c r="J10" s="22">
        <f>J9+I10</f>
        <v/>
      </c>
      <c r="K10" s="23" t="n"/>
    </row>
    <row r="11">
      <c r="A11" s="24" t="n">
        <v>8</v>
      </c>
      <c r="B11" s="25">
        <f>BAFM!F9</f>
        <v/>
      </c>
      <c r="C11" s="25">
        <f>DEMANDA!B10</f>
        <v/>
      </c>
      <c r="D11" s="25">
        <f>G10</f>
        <v/>
      </c>
      <c r="E11" s="25">
        <f>H10+B11</f>
        <v/>
      </c>
      <c r="F11" s="19">
        <f>MIN(E11,C11+D11)</f>
        <v/>
      </c>
      <c r="G11" s="20">
        <f>MAX(0,C11+D11-E11)</f>
        <v/>
      </c>
      <c r="H11" s="19">
        <f>MAX(0,E11-F11)</f>
        <v/>
      </c>
      <c r="I11" s="21">
        <f>H11*50+G11*100</f>
        <v/>
      </c>
      <c r="J11" s="22">
        <f>J10+I11</f>
        <v/>
      </c>
      <c r="K11" s="23" t="n"/>
    </row>
    <row r="12">
      <c r="A12" s="18" t="n">
        <v>9</v>
      </c>
      <c r="B12" s="3">
        <f>BAFM!F10</f>
        <v/>
      </c>
      <c r="C12" s="3">
        <f>DEMANDA!B11</f>
        <v/>
      </c>
      <c r="D12" s="3">
        <f>G11</f>
        <v/>
      </c>
      <c r="E12" s="3">
        <f>H11+B12</f>
        <v/>
      </c>
      <c r="F12" s="19">
        <f>MIN(E12,C12+D12)</f>
        <v/>
      </c>
      <c r="G12" s="20">
        <f>MAX(0,C12+D12-E12)</f>
        <v/>
      </c>
      <c r="H12" s="19">
        <f>MAX(0,E12-F12)</f>
        <v/>
      </c>
      <c r="I12" s="21">
        <f>H12*50+G12*100</f>
        <v/>
      </c>
      <c r="J12" s="22">
        <f>J11+I12</f>
        <v/>
      </c>
      <c r="K12" s="23" t="n"/>
    </row>
    <row r="13">
      <c r="A13" s="24" t="n">
        <v>10</v>
      </c>
      <c r="B13" s="25">
        <f>BAFM!F11</f>
        <v/>
      </c>
      <c r="C13" s="25">
        <f>DEMANDA!B12</f>
        <v/>
      </c>
      <c r="D13" s="25">
        <f>G12</f>
        <v/>
      </c>
      <c r="E13" s="25">
        <f>H12+B13</f>
        <v/>
      </c>
      <c r="F13" s="19">
        <f>MIN(E13,C13+D13)</f>
        <v/>
      </c>
      <c r="G13" s="20">
        <f>MAX(0,C13+D13-E13)</f>
        <v/>
      </c>
      <c r="H13" s="19">
        <f>MAX(0,E13-F13)</f>
        <v/>
      </c>
      <c r="I13" s="21">
        <f>H13*50+G13*100</f>
        <v/>
      </c>
      <c r="J13" s="22">
        <f>J12+I13</f>
        <v/>
      </c>
      <c r="K13" s="23" t="n"/>
    </row>
    <row r="14">
      <c r="A14" s="18" t="n">
        <v>11</v>
      </c>
      <c r="B14" s="3">
        <f>BAFM!F12</f>
        <v/>
      </c>
      <c r="C14" s="3">
        <f>DEMANDA!B13</f>
        <v/>
      </c>
      <c r="D14" s="3">
        <f>G13</f>
        <v/>
      </c>
      <c r="E14" s="3">
        <f>H13+B14</f>
        <v/>
      </c>
      <c r="F14" s="19">
        <f>MIN(E14,C14+D14)</f>
        <v/>
      </c>
      <c r="G14" s="20">
        <f>MAX(0,C14+D14-E14)</f>
        <v/>
      </c>
      <c r="H14" s="19">
        <f>MAX(0,E14-F14)</f>
        <v/>
      </c>
      <c r="I14" s="21">
        <f>H14*50+G14*100</f>
        <v/>
      </c>
      <c r="J14" s="22">
        <f>J13+I14</f>
        <v/>
      </c>
      <c r="K14" s="23" t="n"/>
    </row>
    <row r="15">
      <c r="A15" s="24" t="n">
        <v>12</v>
      </c>
      <c r="B15" s="25">
        <f>BAFM!F13</f>
        <v/>
      </c>
      <c r="C15" s="25">
        <f>DEMANDA!B14</f>
        <v/>
      </c>
      <c r="D15" s="25">
        <f>G14</f>
        <v/>
      </c>
      <c r="E15" s="25">
        <f>H14+B15</f>
        <v/>
      </c>
      <c r="F15" s="19">
        <f>MIN(E15,C15+D15)</f>
        <v/>
      </c>
      <c r="G15" s="20">
        <f>MAX(0,C15+D15-E15)</f>
        <v/>
      </c>
      <c r="H15" s="19">
        <f>MAX(0,E15-F15)</f>
        <v/>
      </c>
      <c r="I15" s="21">
        <f>H15*50+G15*100</f>
        <v/>
      </c>
      <c r="J15" s="22">
        <f>J14+I15</f>
        <v/>
      </c>
      <c r="K15" s="23" t="n"/>
    </row>
    <row r="16">
      <c r="A16" s="18" t="n">
        <v>13</v>
      </c>
      <c r="B16" s="3">
        <f>BAFM!F14</f>
        <v/>
      </c>
      <c r="C16" s="3">
        <f>DEMANDA!B15</f>
        <v/>
      </c>
      <c r="D16" s="3">
        <f>G15</f>
        <v/>
      </c>
      <c r="E16" s="3">
        <f>H15+B16</f>
        <v/>
      </c>
      <c r="F16" s="19">
        <f>MIN(E16,C16+D16)</f>
        <v/>
      </c>
      <c r="G16" s="20">
        <f>MAX(0,C16+D16-E16)</f>
        <v/>
      </c>
      <c r="H16" s="19">
        <f>MAX(0,E16-F16)</f>
        <v/>
      </c>
      <c r="I16" s="21">
        <f>H16*50+G16*100</f>
        <v/>
      </c>
      <c r="J16" s="22">
        <f>J15+I16</f>
        <v/>
      </c>
      <c r="K16" s="23" t="n"/>
    </row>
    <row r="17">
      <c r="A17" s="24" t="n">
        <v>14</v>
      </c>
      <c r="B17" s="25">
        <f>BAFM!F15</f>
        <v/>
      </c>
      <c r="C17" s="25">
        <f>DEMANDA!B16</f>
        <v/>
      </c>
      <c r="D17" s="25">
        <f>G16</f>
        <v/>
      </c>
      <c r="E17" s="25">
        <f>H16+B17</f>
        <v/>
      </c>
      <c r="F17" s="19">
        <f>MIN(E17,C17+D17)</f>
        <v/>
      </c>
      <c r="G17" s="20">
        <f>MAX(0,C17+D17-E17)</f>
        <v/>
      </c>
      <c r="H17" s="19">
        <f>MAX(0,E17-F17)</f>
        <v/>
      </c>
      <c r="I17" s="21">
        <f>H17*50+G17*100</f>
        <v/>
      </c>
      <c r="J17" s="22">
        <f>J16+I17</f>
        <v/>
      </c>
      <c r="K17" s="23" t="n"/>
    </row>
    <row r="18">
      <c r="A18" s="18" t="n">
        <v>15</v>
      </c>
      <c r="B18" s="3">
        <f>BAFM!F16</f>
        <v/>
      </c>
      <c r="C18" s="3">
        <f>DEMANDA!B17</f>
        <v/>
      </c>
      <c r="D18" s="3">
        <f>G17</f>
        <v/>
      </c>
      <c r="E18" s="3">
        <f>H17+B18</f>
        <v/>
      </c>
      <c r="F18" s="19">
        <f>MIN(E18,C18+D18)</f>
        <v/>
      </c>
      <c r="G18" s="20">
        <f>MAX(0,C18+D18-E18)</f>
        <v/>
      </c>
      <c r="H18" s="19">
        <f>MAX(0,E18-F18)</f>
        <v/>
      </c>
      <c r="I18" s="21">
        <f>H18*50+G18*100</f>
        <v/>
      </c>
      <c r="J18" s="22">
        <f>J17+I18</f>
        <v/>
      </c>
      <c r="K18" s="23" t="n"/>
    </row>
    <row r="19">
      <c r="A19" s="26" t="inlineStr">
        <is>
          <t>TOTAL</t>
        </is>
      </c>
      <c r="B19" s="26" t="n"/>
      <c r="C19" s="26" t="n"/>
      <c r="D19" s="26" t="n"/>
      <c r="E19" s="26" t="n"/>
      <c r="F19" s="26" t="n"/>
      <c r="G19" s="26" t="n"/>
      <c r="H19" s="26" t="n"/>
      <c r="I19" s="27">
        <f>SUM(I4:I18)</f>
        <v/>
      </c>
      <c r="J19" s="27">
        <f>SUM(I4:I18)</f>
        <v/>
      </c>
      <c r="K19" s="26">
        <f>SUM(K4:K18)</f>
        <v/>
      </c>
    </row>
  </sheetData>
  <mergeCells count="2">
    <mergeCell ref="A2:K2"/>
    <mergeCell ref="A1:K1"/>
  </mergeCells>
  <dataValidations count="1">
    <dataValidation sqref="K4:K18" showDropDown="0" showInputMessage="0" showErrorMessage="1" allowBlank="0" errorTitle="Pedido inválido" error="Digite um número inteiro igual ou maior que 0." type="whole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11" customWidth="1" min="3" max="3"/>
    <col width="11" customWidth="1" min="4" max="4"/>
    <col width="10" customWidth="1" min="5" max="5"/>
    <col width="8" customWidth="1" min="6" max="6"/>
    <col width="11" customWidth="1" min="7" max="7"/>
    <col width="11" customWidth="1" min="8" max="8"/>
    <col width="13" customWidth="1" min="9" max="9"/>
    <col width="15" customWidth="1" min="10" max="10"/>
    <col width="14" customWidth="1" min="11" max="11"/>
  </cols>
  <sheetData>
    <row r="1" ht="21" customHeight="1">
      <c r="A1" s="5" t="inlineStr">
        <is>
          <t>🦑 OPERAÇÃO KRAKEN  |  ALMOX DA BAFM</t>
        </is>
      </c>
    </row>
    <row r="2">
      <c r="A2" s="6" t="inlineStr">
        <is>
          <t>⚠️  Preencha APENAS a coluna amarela "MEU PEDIDO". Não altere as outras células!</t>
        </is>
      </c>
    </row>
    <row r="3" ht="34" customHeight="1">
      <c r="A3" s="7" t="inlineStr">
        <is>
          <t>Semana</t>
        </is>
      </c>
      <c r="B3" s="8" t="inlineStr">
        <is>
          <t>Chegou</t>
        </is>
      </c>
      <c r="C3" s="9" t="inlineStr">
        <is>
          <t>Pedido
Recebido</t>
        </is>
      </c>
      <c r="D3" s="10" t="inlineStr">
        <is>
          <t>Backorder
Herdado</t>
        </is>
      </c>
      <c r="E3" s="11" t="inlineStr">
        <is>
          <t>Disponível</t>
        </is>
      </c>
      <c r="F3" s="12" t="inlineStr">
        <is>
          <t>Atendi</t>
        </is>
      </c>
      <c r="G3" s="13" t="inlineStr">
        <is>
          <t>Backorder
Novo</t>
        </is>
      </c>
      <c r="H3" s="14" t="inlineStr">
        <is>
          <t>Estoque
Final</t>
        </is>
      </c>
      <c r="I3" s="15" t="inlineStr">
        <is>
          <t>Custo
Semana</t>
        </is>
      </c>
      <c r="J3" s="16" t="inlineStr">
        <is>
          <t>Custo
Acumulado</t>
        </is>
      </c>
      <c r="K3" s="17" t="inlineStr">
        <is>
          <t>MEU
PEDIDO ▼</t>
        </is>
      </c>
    </row>
    <row r="4">
      <c r="A4" s="18" t="n">
        <v>1</v>
      </c>
      <c r="B4" s="3" t="n">
        <v>4</v>
      </c>
      <c r="C4" s="3">
        <f>UCI!K4</f>
        <v/>
      </c>
      <c r="D4" s="3" t="n">
        <v>0</v>
      </c>
      <c r="E4" s="3">
        <f>8+B4</f>
        <v/>
      </c>
      <c r="F4" s="19">
        <f>MIN(E4,C4+D4)</f>
        <v/>
      </c>
      <c r="G4" s="20">
        <f>MAX(0,C4+D4-E4)</f>
        <v/>
      </c>
      <c r="H4" s="19">
        <f>MAX(0,E4-F4)</f>
        <v/>
      </c>
      <c r="I4" s="21">
        <f>H4*50+G4*100</f>
        <v/>
      </c>
      <c r="J4" s="22">
        <f>I4</f>
        <v/>
      </c>
      <c r="K4" s="23" t="n"/>
    </row>
    <row r="5">
      <c r="A5" s="24" t="n">
        <v>2</v>
      </c>
      <c r="B5" s="25" t="n">
        <v>4</v>
      </c>
      <c r="C5" s="25">
        <f>UCI!K5</f>
        <v/>
      </c>
      <c r="D5" s="25">
        <f>G4</f>
        <v/>
      </c>
      <c r="E5" s="25">
        <f>H4+B5</f>
        <v/>
      </c>
      <c r="F5" s="19">
        <f>MIN(E5,C5+D5)</f>
        <v/>
      </c>
      <c r="G5" s="20">
        <f>MAX(0,C5+D5-E5)</f>
        <v/>
      </c>
      <c r="H5" s="19">
        <f>MAX(0,E5-F5)</f>
        <v/>
      </c>
      <c r="I5" s="21">
        <f>H5*50+G5*100</f>
        <v/>
      </c>
      <c r="J5" s="22">
        <f>J4+I5</f>
        <v/>
      </c>
      <c r="K5" s="23" t="n"/>
    </row>
    <row r="6">
      <c r="A6" s="18" t="n">
        <v>3</v>
      </c>
      <c r="B6" s="3">
        <f>'GAP-FM'!F4</f>
        <v/>
      </c>
      <c r="C6" s="3">
        <f>UCI!K6</f>
        <v/>
      </c>
      <c r="D6" s="3">
        <f>G5</f>
        <v/>
      </c>
      <c r="E6" s="3">
        <f>H5+B6</f>
        <v/>
      </c>
      <c r="F6" s="19">
        <f>MIN(E6,C6+D6)</f>
        <v/>
      </c>
      <c r="G6" s="20">
        <f>MAX(0,C6+D6-E6)</f>
        <v/>
      </c>
      <c r="H6" s="19">
        <f>MAX(0,E6-F6)</f>
        <v/>
      </c>
      <c r="I6" s="21">
        <f>H6*50+G6*100</f>
        <v/>
      </c>
      <c r="J6" s="22">
        <f>J5+I6</f>
        <v/>
      </c>
      <c r="K6" s="23" t="n"/>
    </row>
    <row r="7">
      <c r="A7" s="24" t="n">
        <v>4</v>
      </c>
      <c r="B7" s="25">
        <f>'GAP-FM'!F5</f>
        <v/>
      </c>
      <c r="C7" s="25">
        <f>UCI!K7</f>
        <v/>
      </c>
      <c r="D7" s="25">
        <f>G6</f>
        <v/>
      </c>
      <c r="E7" s="25">
        <f>H6+B7</f>
        <v/>
      </c>
      <c r="F7" s="19">
        <f>MIN(E7,C7+D7)</f>
        <v/>
      </c>
      <c r="G7" s="20">
        <f>MAX(0,C7+D7-E7)</f>
        <v/>
      </c>
      <c r="H7" s="19">
        <f>MAX(0,E7-F7)</f>
        <v/>
      </c>
      <c r="I7" s="21">
        <f>H7*50+G7*100</f>
        <v/>
      </c>
      <c r="J7" s="22">
        <f>J6+I7</f>
        <v/>
      </c>
      <c r="K7" s="23" t="n"/>
    </row>
    <row r="8">
      <c r="A8" s="18" t="n">
        <v>5</v>
      </c>
      <c r="B8" s="3">
        <f>'GAP-FM'!F6</f>
        <v/>
      </c>
      <c r="C8" s="3">
        <f>UCI!K8</f>
        <v/>
      </c>
      <c r="D8" s="3">
        <f>G7</f>
        <v/>
      </c>
      <c r="E8" s="3">
        <f>H7+B8</f>
        <v/>
      </c>
      <c r="F8" s="19">
        <f>MIN(E8,C8+D8)</f>
        <v/>
      </c>
      <c r="G8" s="20">
        <f>MAX(0,C8+D8-E8)</f>
        <v/>
      </c>
      <c r="H8" s="19">
        <f>MAX(0,E8-F8)</f>
        <v/>
      </c>
      <c r="I8" s="21">
        <f>H8*50+G8*100</f>
        <v/>
      </c>
      <c r="J8" s="22">
        <f>J7+I8</f>
        <v/>
      </c>
      <c r="K8" s="23" t="n"/>
    </row>
    <row r="9">
      <c r="A9" s="24" t="n">
        <v>6</v>
      </c>
      <c r="B9" s="25">
        <f>'GAP-FM'!F7</f>
        <v/>
      </c>
      <c r="C9" s="25">
        <f>UCI!K9</f>
        <v/>
      </c>
      <c r="D9" s="25">
        <f>G8</f>
        <v/>
      </c>
      <c r="E9" s="25">
        <f>H8+B9</f>
        <v/>
      </c>
      <c r="F9" s="19">
        <f>MIN(E9,C9+D9)</f>
        <v/>
      </c>
      <c r="G9" s="20">
        <f>MAX(0,C9+D9-E9)</f>
        <v/>
      </c>
      <c r="H9" s="19">
        <f>MAX(0,E9-F9)</f>
        <v/>
      </c>
      <c r="I9" s="21">
        <f>H9*50+G9*100</f>
        <v/>
      </c>
      <c r="J9" s="22">
        <f>J8+I9</f>
        <v/>
      </c>
      <c r="K9" s="23" t="n"/>
    </row>
    <row r="10">
      <c r="A10" s="18" t="n">
        <v>7</v>
      </c>
      <c r="B10" s="3">
        <f>'GAP-FM'!F8</f>
        <v/>
      </c>
      <c r="C10" s="3">
        <f>UCI!K10</f>
        <v/>
      </c>
      <c r="D10" s="3">
        <f>G9</f>
        <v/>
      </c>
      <c r="E10" s="3">
        <f>H9+B10</f>
        <v/>
      </c>
      <c r="F10" s="19">
        <f>MIN(E10,C10+D10)</f>
        <v/>
      </c>
      <c r="G10" s="20">
        <f>MAX(0,C10+D10-E10)</f>
        <v/>
      </c>
      <c r="H10" s="19">
        <f>MAX(0,E10-F10)</f>
        <v/>
      </c>
      <c r="I10" s="21">
        <f>H10*50+G10*100</f>
        <v/>
      </c>
      <c r="J10" s="22">
        <f>J9+I10</f>
        <v/>
      </c>
      <c r="K10" s="23" t="n"/>
    </row>
    <row r="11">
      <c r="A11" s="24" t="n">
        <v>8</v>
      </c>
      <c r="B11" s="25">
        <f>'GAP-FM'!F9</f>
        <v/>
      </c>
      <c r="C11" s="25">
        <f>UCI!K11</f>
        <v/>
      </c>
      <c r="D11" s="25">
        <f>G10</f>
        <v/>
      </c>
      <c r="E11" s="25">
        <f>H10+B11</f>
        <v/>
      </c>
      <c r="F11" s="19">
        <f>MIN(E11,C11+D11)</f>
        <v/>
      </c>
      <c r="G11" s="20">
        <f>MAX(0,C11+D11-E11)</f>
        <v/>
      </c>
      <c r="H11" s="19">
        <f>MAX(0,E11-F11)</f>
        <v/>
      </c>
      <c r="I11" s="21">
        <f>H11*50+G11*100</f>
        <v/>
      </c>
      <c r="J11" s="22">
        <f>J10+I11</f>
        <v/>
      </c>
      <c r="K11" s="23" t="n"/>
    </row>
    <row r="12">
      <c r="A12" s="18" t="n">
        <v>9</v>
      </c>
      <c r="B12" s="3">
        <f>'GAP-FM'!F10</f>
        <v/>
      </c>
      <c r="C12" s="3">
        <f>UCI!K12</f>
        <v/>
      </c>
      <c r="D12" s="3">
        <f>G11</f>
        <v/>
      </c>
      <c r="E12" s="3">
        <f>H11+B12</f>
        <v/>
      </c>
      <c r="F12" s="19">
        <f>MIN(E12,C12+D12)</f>
        <v/>
      </c>
      <c r="G12" s="20">
        <f>MAX(0,C12+D12-E12)</f>
        <v/>
      </c>
      <c r="H12" s="19">
        <f>MAX(0,E12-F12)</f>
        <v/>
      </c>
      <c r="I12" s="21">
        <f>H12*50+G12*100</f>
        <v/>
      </c>
      <c r="J12" s="22">
        <f>J11+I12</f>
        <v/>
      </c>
      <c r="K12" s="23" t="n"/>
    </row>
    <row r="13">
      <c r="A13" s="24" t="n">
        <v>10</v>
      </c>
      <c r="B13" s="25">
        <f>'GAP-FM'!F11</f>
        <v/>
      </c>
      <c r="C13" s="25">
        <f>UCI!K13</f>
        <v/>
      </c>
      <c r="D13" s="25">
        <f>G12</f>
        <v/>
      </c>
      <c r="E13" s="25">
        <f>H12+B13</f>
        <v/>
      </c>
      <c r="F13" s="19">
        <f>MIN(E13,C13+D13)</f>
        <v/>
      </c>
      <c r="G13" s="20">
        <f>MAX(0,C13+D13-E13)</f>
        <v/>
      </c>
      <c r="H13" s="19">
        <f>MAX(0,E13-F13)</f>
        <v/>
      </c>
      <c r="I13" s="21">
        <f>H13*50+G13*100</f>
        <v/>
      </c>
      <c r="J13" s="22">
        <f>J12+I13</f>
        <v/>
      </c>
      <c r="K13" s="23" t="n"/>
    </row>
    <row r="14">
      <c r="A14" s="18" t="n">
        <v>11</v>
      </c>
      <c r="B14" s="3">
        <f>'GAP-FM'!F12</f>
        <v/>
      </c>
      <c r="C14" s="3">
        <f>UCI!K14</f>
        <v/>
      </c>
      <c r="D14" s="3">
        <f>G13</f>
        <v/>
      </c>
      <c r="E14" s="3">
        <f>H13+B14</f>
        <v/>
      </c>
      <c r="F14" s="19">
        <f>MIN(E14,C14+D14)</f>
        <v/>
      </c>
      <c r="G14" s="20">
        <f>MAX(0,C14+D14-E14)</f>
        <v/>
      </c>
      <c r="H14" s="19">
        <f>MAX(0,E14-F14)</f>
        <v/>
      </c>
      <c r="I14" s="21">
        <f>H14*50+G14*100</f>
        <v/>
      </c>
      <c r="J14" s="22">
        <f>J13+I14</f>
        <v/>
      </c>
      <c r="K14" s="23" t="n"/>
    </row>
    <row r="15">
      <c r="A15" s="24" t="n">
        <v>12</v>
      </c>
      <c r="B15" s="25">
        <f>'GAP-FM'!F13</f>
        <v/>
      </c>
      <c r="C15" s="25">
        <f>UCI!K15</f>
        <v/>
      </c>
      <c r="D15" s="25">
        <f>G14</f>
        <v/>
      </c>
      <c r="E15" s="25">
        <f>H14+B15</f>
        <v/>
      </c>
      <c r="F15" s="19">
        <f>MIN(E15,C15+D15)</f>
        <v/>
      </c>
      <c r="G15" s="20">
        <f>MAX(0,C15+D15-E15)</f>
        <v/>
      </c>
      <c r="H15" s="19">
        <f>MAX(0,E15-F15)</f>
        <v/>
      </c>
      <c r="I15" s="21">
        <f>H15*50+G15*100</f>
        <v/>
      </c>
      <c r="J15" s="22">
        <f>J14+I15</f>
        <v/>
      </c>
      <c r="K15" s="23" t="n"/>
    </row>
    <row r="16">
      <c r="A16" s="18" t="n">
        <v>13</v>
      </c>
      <c r="B16" s="3">
        <f>'GAP-FM'!F14</f>
        <v/>
      </c>
      <c r="C16" s="3">
        <f>UCI!K16</f>
        <v/>
      </c>
      <c r="D16" s="3">
        <f>G15</f>
        <v/>
      </c>
      <c r="E16" s="3">
        <f>H15+B16</f>
        <v/>
      </c>
      <c r="F16" s="19">
        <f>MIN(E16,C16+D16)</f>
        <v/>
      </c>
      <c r="G16" s="20">
        <f>MAX(0,C16+D16-E16)</f>
        <v/>
      </c>
      <c r="H16" s="19">
        <f>MAX(0,E16-F16)</f>
        <v/>
      </c>
      <c r="I16" s="21">
        <f>H16*50+G16*100</f>
        <v/>
      </c>
      <c r="J16" s="22">
        <f>J15+I16</f>
        <v/>
      </c>
      <c r="K16" s="23" t="n"/>
    </row>
    <row r="17">
      <c r="A17" s="24" t="n">
        <v>14</v>
      </c>
      <c r="B17" s="25">
        <f>'GAP-FM'!F15</f>
        <v/>
      </c>
      <c r="C17" s="25">
        <f>UCI!K17</f>
        <v/>
      </c>
      <c r="D17" s="25">
        <f>G16</f>
        <v/>
      </c>
      <c r="E17" s="25">
        <f>H16+B17</f>
        <v/>
      </c>
      <c r="F17" s="19">
        <f>MIN(E17,C17+D17)</f>
        <v/>
      </c>
      <c r="G17" s="20">
        <f>MAX(0,C17+D17-E17)</f>
        <v/>
      </c>
      <c r="H17" s="19">
        <f>MAX(0,E17-F17)</f>
        <v/>
      </c>
      <c r="I17" s="21">
        <f>H17*50+G17*100</f>
        <v/>
      </c>
      <c r="J17" s="22">
        <f>J16+I17</f>
        <v/>
      </c>
      <c r="K17" s="23" t="n"/>
    </row>
    <row r="18">
      <c r="A18" s="18" t="n">
        <v>15</v>
      </c>
      <c r="B18" s="3">
        <f>'GAP-FM'!F16</f>
        <v/>
      </c>
      <c r="C18" s="3">
        <f>UCI!K18</f>
        <v/>
      </c>
      <c r="D18" s="3">
        <f>G17</f>
        <v/>
      </c>
      <c r="E18" s="3">
        <f>H17+B18</f>
        <v/>
      </c>
      <c r="F18" s="19">
        <f>MIN(E18,C18+D18)</f>
        <v/>
      </c>
      <c r="G18" s="20">
        <f>MAX(0,C18+D18-E18)</f>
        <v/>
      </c>
      <c r="H18" s="19">
        <f>MAX(0,E18-F18)</f>
        <v/>
      </c>
      <c r="I18" s="21">
        <f>H18*50+G18*100</f>
        <v/>
      </c>
      <c r="J18" s="22">
        <f>J17+I18</f>
        <v/>
      </c>
      <c r="K18" s="23" t="n"/>
    </row>
    <row r="19">
      <c r="A19" s="26" t="inlineStr">
        <is>
          <t>TOTAL</t>
        </is>
      </c>
      <c r="B19" s="26" t="n"/>
      <c r="C19" s="26" t="n"/>
      <c r="D19" s="26" t="n"/>
      <c r="E19" s="26" t="n"/>
      <c r="F19" s="26" t="n"/>
      <c r="G19" s="26" t="n"/>
      <c r="H19" s="26" t="n"/>
      <c r="I19" s="27">
        <f>SUM(I4:I18)</f>
        <v/>
      </c>
      <c r="J19" s="27">
        <f>SUM(I4:I18)</f>
        <v/>
      </c>
      <c r="K19" s="26">
        <f>SUM(K4:K18)</f>
        <v/>
      </c>
    </row>
  </sheetData>
  <mergeCells count="2">
    <mergeCell ref="A2:K2"/>
    <mergeCell ref="A1:K1"/>
  </mergeCells>
  <dataValidations count="1">
    <dataValidation sqref="K4:K18" showDropDown="0" showInputMessage="0" showErrorMessage="1" allowBlank="0" errorTitle="Pedido inválido" error="Digite um número inteiro igual ou maior que 0." type="whole" operator="greaterThanOrEqual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11" customWidth="1" min="3" max="3"/>
    <col width="11" customWidth="1" min="4" max="4"/>
    <col width="10" customWidth="1" min="5" max="5"/>
    <col width="8" customWidth="1" min="6" max="6"/>
    <col width="11" customWidth="1" min="7" max="7"/>
    <col width="11" customWidth="1" min="8" max="8"/>
    <col width="13" customWidth="1" min="9" max="9"/>
    <col width="15" customWidth="1" min="10" max="10"/>
    <col width="14" customWidth="1" min="11" max="11"/>
  </cols>
  <sheetData>
    <row r="1" ht="21" customHeight="1">
      <c r="A1" s="5" t="inlineStr">
        <is>
          <t>🦑 OPERAÇÃO KRAKEN  |  ALMOX DO GAP-FM</t>
        </is>
      </c>
    </row>
    <row r="2">
      <c r="A2" s="6" t="inlineStr">
        <is>
          <t>⚠️  Preencha APENAS a coluna amarela "MEU PEDIDO". Não altere as outras células!</t>
        </is>
      </c>
    </row>
    <row r="3" ht="34" customHeight="1">
      <c r="A3" s="7" t="inlineStr">
        <is>
          <t>Semana</t>
        </is>
      </c>
      <c r="B3" s="8" t="inlineStr">
        <is>
          <t>Chegou</t>
        </is>
      </c>
      <c r="C3" s="9" t="inlineStr">
        <is>
          <t>Pedido
Recebido</t>
        </is>
      </c>
      <c r="D3" s="10" t="inlineStr">
        <is>
          <t>Backorder
Herdado</t>
        </is>
      </c>
      <c r="E3" s="11" t="inlineStr">
        <is>
          <t>Disponível</t>
        </is>
      </c>
      <c r="F3" s="12" t="inlineStr">
        <is>
          <t>Atendi</t>
        </is>
      </c>
      <c r="G3" s="13" t="inlineStr">
        <is>
          <t>Backorder
Novo</t>
        </is>
      </c>
      <c r="H3" s="14" t="inlineStr">
        <is>
          <t>Estoque
Final</t>
        </is>
      </c>
      <c r="I3" s="15" t="inlineStr">
        <is>
          <t>Custo
Semana</t>
        </is>
      </c>
      <c r="J3" s="16" t="inlineStr">
        <is>
          <t>Custo
Acumulado</t>
        </is>
      </c>
      <c r="K3" s="17" t="inlineStr">
        <is>
          <t>MEU
PEDIDO ▼</t>
        </is>
      </c>
    </row>
    <row r="4">
      <c r="A4" s="18" t="n">
        <v>1</v>
      </c>
      <c r="B4" s="3" t="n">
        <v>4</v>
      </c>
      <c r="C4" s="3">
        <f>BAFM!K4</f>
        <v/>
      </c>
      <c r="D4" s="3" t="n">
        <v>0</v>
      </c>
      <c r="E4" s="3">
        <f>8+B4</f>
        <v/>
      </c>
      <c r="F4" s="19">
        <f>MIN(E4,C4+D4)</f>
        <v/>
      </c>
      <c r="G4" s="20">
        <f>MAX(0,C4+D4-E4)</f>
        <v/>
      </c>
      <c r="H4" s="19">
        <f>MAX(0,E4-F4)</f>
        <v/>
      </c>
      <c r="I4" s="21">
        <f>H4*50+G4*100</f>
        <v/>
      </c>
      <c r="J4" s="22">
        <f>I4</f>
        <v/>
      </c>
      <c r="K4" s="23" t="n"/>
    </row>
    <row r="5">
      <c r="A5" s="24" t="n">
        <v>2</v>
      </c>
      <c r="B5" s="25" t="n">
        <v>4</v>
      </c>
      <c r="C5" s="25">
        <f>BAFM!K5</f>
        <v/>
      </c>
      <c r="D5" s="25">
        <f>G4</f>
        <v/>
      </c>
      <c r="E5" s="25">
        <f>H4+B5</f>
        <v/>
      </c>
      <c r="F5" s="19">
        <f>MIN(E5,C5+D5)</f>
        <v/>
      </c>
      <c r="G5" s="20">
        <f>MAX(0,C5+D5-E5)</f>
        <v/>
      </c>
      <c r="H5" s="19">
        <f>MAX(0,E5-F5)</f>
        <v/>
      </c>
      <c r="I5" s="21">
        <f>H5*50+G5*100</f>
        <v/>
      </c>
      <c r="J5" s="22">
        <f>J4+I5</f>
        <v/>
      </c>
      <c r="K5" s="23" t="n"/>
    </row>
    <row r="6">
      <c r="A6" s="18" t="n">
        <v>3</v>
      </c>
      <c r="B6" s="3">
        <f>SDAB!F4</f>
        <v/>
      </c>
      <c r="C6" s="3">
        <f>BAFM!K6</f>
        <v/>
      </c>
      <c r="D6" s="3">
        <f>G5</f>
        <v/>
      </c>
      <c r="E6" s="3">
        <f>H5+B6</f>
        <v/>
      </c>
      <c r="F6" s="19">
        <f>MIN(E6,C6+D6)</f>
        <v/>
      </c>
      <c r="G6" s="20">
        <f>MAX(0,C6+D6-E6)</f>
        <v/>
      </c>
      <c r="H6" s="19">
        <f>MAX(0,E6-F6)</f>
        <v/>
      </c>
      <c r="I6" s="21">
        <f>H6*50+G6*100</f>
        <v/>
      </c>
      <c r="J6" s="22">
        <f>J5+I6</f>
        <v/>
      </c>
      <c r="K6" s="23" t="n"/>
    </row>
    <row r="7">
      <c r="A7" s="24" t="n">
        <v>4</v>
      </c>
      <c r="B7" s="25">
        <f>SDAB!F5</f>
        <v/>
      </c>
      <c r="C7" s="25">
        <f>BAFM!K7</f>
        <v/>
      </c>
      <c r="D7" s="25">
        <f>G6</f>
        <v/>
      </c>
      <c r="E7" s="25">
        <f>H6+B7</f>
        <v/>
      </c>
      <c r="F7" s="19">
        <f>MIN(E7,C7+D7)</f>
        <v/>
      </c>
      <c r="G7" s="20">
        <f>MAX(0,C7+D7-E7)</f>
        <v/>
      </c>
      <c r="H7" s="19">
        <f>MAX(0,E7-F7)</f>
        <v/>
      </c>
      <c r="I7" s="21">
        <f>H7*50+G7*100</f>
        <v/>
      </c>
      <c r="J7" s="22">
        <f>J6+I7</f>
        <v/>
      </c>
      <c r="K7" s="23" t="n"/>
    </row>
    <row r="8">
      <c r="A8" s="18" t="n">
        <v>5</v>
      </c>
      <c r="B8" s="3">
        <f>SDAB!F6</f>
        <v/>
      </c>
      <c r="C8" s="3">
        <f>BAFM!K8</f>
        <v/>
      </c>
      <c r="D8" s="3">
        <f>G7</f>
        <v/>
      </c>
      <c r="E8" s="3">
        <f>H7+B8</f>
        <v/>
      </c>
      <c r="F8" s="19">
        <f>MIN(E8,C8+D8)</f>
        <v/>
      </c>
      <c r="G8" s="20">
        <f>MAX(0,C8+D8-E8)</f>
        <v/>
      </c>
      <c r="H8" s="19">
        <f>MAX(0,E8-F8)</f>
        <v/>
      </c>
      <c r="I8" s="21">
        <f>H8*50+G8*100</f>
        <v/>
      </c>
      <c r="J8" s="22">
        <f>J7+I8</f>
        <v/>
      </c>
      <c r="K8" s="23" t="n"/>
    </row>
    <row r="9">
      <c r="A9" s="24" t="n">
        <v>6</v>
      </c>
      <c r="B9" s="25">
        <f>SDAB!F7</f>
        <v/>
      </c>
      <c r="C9" s="25">
        <f>BAFM!K9</f>
        <v/>
      </c>
      <c r="D9" s="25">
        <f>G8</f>
        <v/>
      </c>
      <c r="E9" s="25">
        <f>H8+B9</f>
        <v/>
      </c>
      <c r="F9" s="19">
        <f>MIN(E9,C9+D9)</f>
        <v/>
      </c>
      <c r="G9" s="20">
        <f>MAX(0,C9+D9-E9)</f>
        <v/>
      </c>
      <c r="H9" s="19">
        <f>MAX(0,E9-F9)</f>
        <v/>
      </c>
      <c r="I9" s="21">
        <f>H9*50+G9*100</f>
        <v/>
      </c>
      <c r="J9" s="22">
        <f>J8+I9</f>
        <v/>
      </c>
      <c r="K9" s="23" t="n"/>
    </row>
    <row r="10">
      <c r="A10" s="18" t="n">
        <v>7</v>
      </c>
      <c r="B10" s="3">
        <f>SDAB!F8</f>
        <v/>
      </c>
      <c r="C10" s="3">
        <f>BAFM!K10</f>
        <v/>
      </c>
      <c r="D10" s="3">
        <f>G9</f>
        <v/>
      </c>
      <c r="E10" s="3">
        <f>H9+B10</f>
        <v/>
      </c>
      <c r="F10" s="19">
        <f>MIN(E10,C10+D10)</f>
        <v/>
      </c>
      <c r="G10" s="20">
        <f>MAX(0,C10+D10-E10)</f>
        <v/>
      </c>
      <c r="H10" s="19">
        <f>MAX(0,E10-F10)</f>
        <v/>
      </c>
      <c r="I10" s="21">
        <f>H10*50+G10*100</f>
        <v/>
      </c>
      <c r="J10" s="22">
        <f>J9+I10</f>
        <v/>
      </c>
      <c r="K10" s="23" t="n"/>
    </row>
    <row r="11">
      <c r="A11" s="24" t="n">
        <v>8</v>
      </c>
      <c r="B11" s="25">
        <f>SDAB!F9</f>
        <v/>
      </c>
      <c r="C11" s="25">
        <f>BAFM!K11</f>
        <v/>
      </c>
      <c r="D11" s="25">
        <f>G10</f>
        <v/>
      </c>
      <c r="E11" s="25">
        <f>H10+B11</f>
        <v/>
      </c>
      <c r="F11" s="19">
        <f>MIN(E11,C11+D11)</f>
        <v/>
      </c>
      <c r="G11" s="20">
        <f>MAX(0,C11+D11-E11)</f>
        <v/>
      </c>
      <c r="H11" s="19">
        <f>MAX(0,E11-F11)</f>
        <v/>
      </c>
      <c r="I11" s="21">
        <f>H11*50+G11*100</f>
        <v/>
      </c>
      <c r="J11" s="22">
        <f>J10+I11</f>
        <v/>
      </c>
      <c r="K11" s="23" t="n"/>
    </row>
    <row r="12">
      <c r="A12" s="18" t="n">
        <v>9</v>
      </c>
      <c r="B12" s="3">
        <f>SDAB!F10</f>
        <v/>
      </c>
      <c r="C12" s="3">
        <f>BAFM!K12</f>
        <v/>
      </c>
      <c r="D12" s="3">
        <f>G11</f>
        <v/>
      </c>
      <c r="E12" s="3">
        <f>H11+B12</f>
        <v/>
      </c>
      <c r="F12" s="19">
        <f>MIN(E12,C12+D12)</f>
        <v/>
      </c>
      <c r="G12" s="20">
        <f>MAX(0,C12+D12-E12)</f>
        <v/>
      </c>
      <c r="H12" s="19">
        <f>MAX(0,E12-F12)</f>
        <v/>
      </c>
      <c r="I12" s="21">
        <f>H12*50+G12*100</f>
        <v/>
      </c>
      <c r="J12" s="22">
        <f>J11+I12</f>
        <v/>
      </c>
      <c r="K12" s="23" t="n"/>
    </row>
    <row r="13">
      <c r="A13" s="24" t="n">
        <v>10</v>
      </c>
      <c r="B13" s="25">
        <f>SDAB!F11</f>
        <v/>
      </c>
      <c r="C13" s="25">
        <f>BAFM!K13</f>
        <v/>
      </c>
      <c r="D13" s="25">
        <f>G12</f>
        <v/>
      </c>
      <c r="E13" s="25">
        <f>H12+B13</f>
        <v/>
      </c>
      <c r="F13" s="19">
        <f>MIN(E13,C13+D13)</f>
        <v/>
      </c>
      <c r="G13" s="20">
        <f>MAX(0,C13+D13-E13)</f>
        <v/>
      </c>
      <c r="H13" s="19">
        <f>MAX(0,E13-F13)</f>
        <v/>
      </c>
      <c r="I13" s="21">
        <f>H13*50+G13*100</f>
        <v/>
      </c>
      <c r="J13" s="22">
        <f>J12+I13</f>
        <v/>
      </c>
      <c r="K13" s="23" t="n"/>
    </row>
    <row r="14">
      <c r="A14" s="18" t="n">
        <v>11</v>
      </c>
      <c r="B14" s="3">
        <f>SDAB!F12</f>
        <v/>
      </c>
      <c r="C14" s="3">
        <f>BAFM!K14</f>
        <v/>
      </c>
      <c r="D14" s="3">
        <f>G13</f>
        <v/>
      </c>
      <c r="E14" s="3">
        <f>H13+B14</f>
        <v/>
      </c>
      <c r="F14" s="19">
        <f>MIN(E14,C14+D14)</f>
        <v/>
      </c>
      <c r="G14" s="20">
        <f>MAX(0,C14+D14-E14)</f>
        <v/>
      </c>
      <c r="H14" s="19">
        <f>MAX(0,E14-F14)</f>
        <v/>
      </c>
      <c r="I14" s="21">
        <f>H14*50+G14*100</f>
        <v/>
      </c>
      <c r="J14" s="22">
        <f>J13+I14</f>
        <v/>
      </c>
      <c r="K14" s="23" t="n"/>
    </row>
    <row r="15">
      <c r="A15" s="24" t="n">
        <v>12</v>
      </c>
      <c r="B15" s="25">
        <f>SDAB!F13</f>
        <v/>
      </c>
      <c r="C15" s="25">
        <f>BAFM!K15</f>
        <v/>
      </c>
      <c r="D15" s="25">
        <f>G14</f>
        <v/>
      </c>
      <c r="E15" s="25">
        <f>H14+B15</f>
        <v/>
      </c>
      <c r="F15" s="19">
        <f>MIN(E15,C15+D15)</f>
        <v/>
      </c>
      <c r="G15" s="20">
        <f>MAX(0,C15+D15-E15)</f>
        <v/>
      </c>
      <c r="H15" s="19">
        <f>MAX(0,E15-F15)</f>
        <v/>
      </c>
      <c r="I15" s="21">
        <f>H15*50+G15*100</f>
        <v/>
      </c>
      <c r="J15" s="22">
        <f>J14+I15</f>
        <v/>
      </c>
      <c r="K15" s="23" t="n"/>
    </row>
    <row r="16">
      <c r="A16" s="18" t="n">
        <v>13</v>
      </c>
      <c r="B16" s="3">
        <f>SDAB!F14</f>
        <v/>
      </c>
      <c r="C16" s="3">
        <f>BAFM!K16</f>
        <v/>
      </c>
      <c r="D16" s="3">
        <f>G15</f>
        <v/>
      </c>
      <c r="E16" s="3">
        <f>H15+B16</f>
        <v/>
      </c>
      <c r="F16" s="19">
        <f>MIN(E16,C16+D16)</f>
        <v/>
      </c>
      <c r="G16" s="20">
        <f>MAX(0,C16+D16-E16)</f>
        <v/>
      </c>
      <c r="H16" s="19">
        <f>MAX(0,E16-F16)</f>
        <v/>
      </c>
      <c r="I16" s="21">
        <f>H16*50+G16*100</f>
        <v/>
      </c>
      <c r="J16" s="22">
        <f>J15+I16</f>
        <v/>
      </c>
      <c r="K16" s="23" t="n"/>
    </row>
    <row r="17">
      <c r="A17" s="24" t="n">
        <v>14</v>
      </c>
      <c r="B17" s="25">
        <f>SDAB!F15</f>
        <v/>
      </c>
      <c r="C17" s="25">
        <f>BAFM!K17</f>
        <v/>
      </c>
      <c r="D17" s="25">
        <f>G16</f>
        <v/>
      </c>
      <c r="E17" s="25">
        <f>H16+B17</f>
        <v/>
      </c>
      <c r="F17" s="19">
        <f>MIN(E17,C17+D17)</f>
        <v/>
      </c>
      <c r="G17" s="20">
        <f>MAX(0,C17+D17-E17)</f>
        <v/>
      </c>
      <c r="H17" s="19">
        <f>MAX(0,E17-F17)</f>
        <v/>
      </c>
      <c r="I17" s="21">
        <f>H17*50+G17*100</f>
        <v/>
      </c>
      <c r="J17" s="22">
        <f>J16+I17</f>
        <v/>
      </c>
      <c r="K17" s="23" t="n"/>
    </row>
    <row r="18">
      <c r="A18" s="18" t="n">
        <v>15</v>
      </c>
      <c r="B18" s="3">
        <f>SDAB!F16</f>
        <v/>
      </c>
      <c r="C18" s="3">
        <f>BAFM!K18</f>
        <v/>
      </c>
      <c r="D18" s="3">
        <f>G17</f>
        <v/>
      </c>
      <c r="E18" s="3">
        <f>H17+B18</f>
        <v/>
      </c>
      <c r="F18" s="19">
        <f>MIN(E18,C18+D18)</f>
        <v/>
      </c>
      <c r="G18" s="20">
        <f>MAX(0,C18+D18-E18)</f>
        <v/>
      </c>
      <c r="H18" s="19">
        <f>MAX(0,E18-F18)</f>
        <v/>
      </c>
      <c r="I18" s="21">
        <f>H18*50+G18*100</f>
        <v/>
      </c>
      <c r="J18" s="22">
        <f>J17+I18</f>
        <v/>
      </c>
      <c r="K18" s="23" t="n"/>
    </row>
    <row r="19">
      <c r="A19" s="26" t="inlineStr">
        <is>
          <t>TOTAL</t>
        </is>
      </c>
      <c r="B19" s="26" t="n"/>
      <c r="C19" s="26" t="n"/>
      <c r="D19" s="26" t="n"/>
      <c r="E19" s="26" t="n"/>
      <c r="F19" s="26" t="n"/>
      <c r="G19" s="26" t="n"/>
      <c r="H19" s="26" t="n"/>
      <c r="I19" s="27">
        <f>SUM(I4:I18)</f>
        <v/>
      </c>
      <c r="J19" s="27">
        <f>SUM(I4:I18)</f>
        <v/>
      </c>
      <c r="K19" s="26">
        <f>SUM(K4:K18)</f>
        <v/>
      </c>
    </row>
  </sheetData>
  <mergeCells count="2">
    <mergeCell ref="A2:K2"/>
    <mergeCell ref="A1:K1"/>
  </mergeCells>
  <dataValidations count="1">
    <dataValidation sqref="K4:K18" showDropDown="0" showInputMessage="0" showErrorMessage="1" allowBlank="0" errorTitle="Pedido inválido" error="Digite um número inteiro igual ou maior que 0." type="whole" operator="greaterThanOrEqual">
      <formula1>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11" customWidth="1" min="3" max="3"/>
    <col width="11" customWidth="1" min="4" max="4"/>
    <col width="10" customWidth="1" min="5" max="5"/>
    <col width="8" customWidth="1" min="6" max="6"/>
    <col width="11" customWidth="1" min="7" max="7"/>
    <col width="11" customWidth="1" min="8" max="8"/>
    <col width="13" customWidth="1" min="9" max="9"/>
    <col width="15" customWidth="1" min="10" max="10"/>
    <col width="14" customWidth="1" min="11" max="11"/>
  </cols>
  <sheetData>
    <row r="1" ht="21" customHeight="1">
      <c r="A1" s="5" t="inlineStr">
        <is>
          <t>🦑 OPERAÇÃO KRAKEN  |  DEPÓSITO CENTRAL DA SDAB</t>
        </is>
      </c>
    </row>
    <row r="2">
      <c r="A2" s="6" t="inlineStr">
        <is>
          <t>⚠️  Preencha APENAS a coluna amarela "MEU PEDIDO". Não altere as outras células!</t>
        </is>
      </c>
    </row>
    <row r="3" ht="34" customHeight="1">
      <c r="A3" s="7" t="inlineStr">
        <is>
          <t>Semana</t>
        </is>
      </c>
      <c r="B3" s="8" t="inlineStr">
        <is>
          <t>Chegou</t>
        </is>
      </c>
      <c r="C3" s="9" t="inlineStr">
        <is>
          <t>Pedido
Recebido</t>
        </is>
      </c>
      <c r="D3" s="10" t="inlineStr">
        <is>
          <t>Backorder
Herdado</t>
        </is>
      </c>
      <c r="E3" s="11" t="inlineStr">
        <is>
          <t>Disponível</t>
        </is>
      </c>
      <c r="F3" s="12" t="inlineStr">
        <is>
          <t>Atendi</t>
        </is>
      </c>
      <c r="G3" s="13" t="inlineStr">
        <is>
          <t>Backorder
Novo</t>
        </is>
      </c>
      <c r="H3" s="14" t="inlineStr">
        <is>
          <t>Estoque
Final</t>
        </is>
      </c>
      <c r="I3" s="15" t="inlineStr">
        <is>
          <t>Custo
Semana</t>
        </is>
      </c>
      <c r="J3" s="16" t="inlineStr">
        <is>
          <t>Custo
Acumulado</t>
        </is>
      </c>
      <c r="K3" s="17" t="inlineStr">
        <is>
          <t>MEU
PEDIDO ▼</t>
        </is>
      </c>
    </row>
    <row r="4">
      <c r="A4" s="18" t="n">
        <v>1</v>
      </c>
      <c r="B4" s="3" t="n">
        <v>4</v>
      </c>
      <c r="C4" s="3">
        <f>'GAP-FM'!K4</f>
        <v/>
      </c>
      <c r="D4" s="3" t="n">
        <v>0</v>
      </c>
      <c r="E4" s="3">
        <f>8+B4</f>
        <v/>
      </c>
      <c r="F4" s="19">
        <f>MIN(E4,C4+D4)</f>
        <v/>
      </c>
      <c r="G4" s="20">
        <f>MAX(0,C4+D4-E4)</f>
        <v/>
      </c>
      <c r="H4" s="19">
        <f>MAX(0,E4-F4)</f>
        <v/>
      </c>
      <c r="I4" s="21">
        <f>H4*50+G4*100</f>
        <v/>
      </c>
      <c r="J4" s="22">
        <f>I4</f>
        <v/>
      </c>
      <c r="K4" s="23" t="n"/>
    </row>
    <row r="5">
      <c r="A5" s="24" t="n">
        <v>2</v>
      </c>
      <c r="B5" s="25" t="n">
        <v>4</v>
      </c>
      <c r="C5" s="25">
        <f>'GAP-FM'!K5</f>
        <v/>
      </c>
      <c r="D5" s="25">
        <f>G4</f>
        <v/>
      </c>
      <c r="E5" s="25">
        <f>H4+B5</f>
        <v/>
      </c>
      <c r="F5" s="19">
        <f>MIN(E5,C5+D5)</f>
        <v/>
      </c>
      <c r="G5" s="20">
        <f>MAX(0,C5+D5-E5)</f>
        <v/>
      </c>
      <c r="H5" s="19">
        <f>MAX(0,E5-F5)</f>
        <v/>
      </c>
      <c r="I5" s="21">
        <f>H5*50+G5*100</f>
        <v/>
      </c>
      <c r="J5" s="22">
        <f>J4+I5</f>
        <v/>
      </c>
      <c r="K5" s="23" t="n"/>
    </row>
    <row r="6">
      <c r="A6" s="18" t="n">
        <v>3</v>
      </c>
      <c r="B6" s="3">
        <f>Fabricante!F4</f>
        <v/>
      </c>
      <c r="C6" s="3">
        <f>'GAP-FM'!K6</f>
        <v/>
      </c>
      <c r="D6" s="3">
        <f>G5</f>
        <v/>
      </c>
      <c r="E6" s="3">
        <f>H5+B6</f>
        <v/>
      </c>
      <c r="F6" s="19">
        <f>MIN(E6,C6+D6)</f>
        <v/>
      </c>
      <c r="G6" s="20">
        <f>MAX(0,C6+D6-E6)</f>
        <v/>
      </c>
      <c r="H6" s="19">
        <f>MAX(0,E6-F6)</f>
        <v/>
      </c>
      <c r="I6" s="21">
        <f>H6*50+G6*100</f>
        <v/>
      </c>
      <c r="J6" s="22">
        <f>J5+I6</f>
        <v/>
      </c>
      <c r="K6" s="23" t="n"/>
    </row>
    <row r="7">
      <c r="A7" s="24" t="n">
        <v>4</v>
      </c>
      <c r="B7" s="25">
        <f>Fabricante!F5</f>
        <v/>
      </c>
      <c r="C7" s="25">
        <f>'GAP-FM'!K7</f>
        <v/>
      </c>
      <c r="D7" s="25">
        <f>G6</f>
        <v/>
      </c>
      <c r="E7" s="25">
        <f>H6+B7</f>
        <v/>
      </c>
      <c r="F7" s="19">
        <f>MIN(E7,C7+D7)</f>
        <v/>
      </c>
      <c r="G7" s="20">
        <f>MAX(0,C7+D7-E7)</f>
        <v/>
      </c>
      <c r="H7" s="19">
        <f>MAX(0,E7-F7)</f>
        <v/>
      </c>
      <c r="I7" s="21">
        <f>H7*50+G7*100</f>
        <v/>
      </c>
      <c r="J7" s="22">
        <f>J6+I7</f>
        <v/>
      </c>
      <c r="K7" s="23" t="n"/>
    </row>
    <row r="8">
      <c r="A8" s="18" t="n">
        <v>5</v>
      </c>
      <c r="B8" s="3">
        <f>Fabricante!F6</f>
        <v/>
      </c>
      <c r="C8" s="3">
        <f>'GAP-FM'!K8</f>
        <v/>
      </c>
      <c r="D8" s="3">
        <f>G7</f>
        <v/>
      </c>
      <c r="E8" s="3">
        <f>H7+B8</f>
        <v/>
      </c>
      <c r="F8" s="19">
        <f>MIN(E8,C8+D8)</f>
        <v/>
      </c>
      <c r="G8" s="20">
        <f>MAX(0,C8+D8-E8)</f>
        <v/>
      </c>
      <c r="H8" s="19">
        <f>MAX(0,E8-F8)</f>
        <v/>
      </c>
      <c r="I8" s="21">
        <f>H8*50+G8*100</f>
        <v/>
      </c>
      <c r="J8" s="22">
        <f>J7+I8</f>
        <v/>
      </c>
      <c r="K8" s="23" t="n"/>
    </row>
    <row r="9">
      <c r="A9" s="24" t="n">
        <v>6</v>
      </c>
      <c r="B9" s="25">
        <f>Fabricante!F7</f>
        <v/>
      </c>
      <c r="C9" s="25">
        <f>'GAP-FM'!K9</f>
        <v/>
      </c>
      <c r="D9" s="25">
        <f>G8</f>
        <v/>
      </c>
      <c r="E9" s="25">
        <f>H8+B9</f>
        <v/>
      </c>
      <c r="F9" s="19">
        <f>MIN(E9,C9+D9)</f>
        <v/>
      </c>
      <c r="G9" s="20">
        <f>MAX(0,C9+D9-E9)</f>
        <v/>
      </c>
      <c r="H9" s="19">
        <f>MAX(0,E9-F9)</f>
        <v/>
      </c>
      <c r="I9" s="21">
        <f>H9*50+G9*100</f>
        <v/>
      </c>
      <c r="J9" s="22">
        <f>J8+I9</f>
        <v/>
      </c>
      <c r="K9" s="23" t="n"/>
    </row>
    <row r="10">
      <c r="A10" s="18" t="n">
        <v>7</v>
      </c>
      <c r="B10" s="3">
        <f>Fabricante!F8</f>
        <v/>
      </c>
      <c r="C10" s="3">
        <f>'GAP-FM'!K10</f>
        <v/>
      </c>
      <c r="D10" s="3">
        <f>G9</f>
        <v/>
      </c>
      <c r="E10" s="3">
        <f>H9+B10</f>
        <v/>
      </c>
      <c r="F10" s="19">
        <f>MIN(E10,C10+D10)</f>
        <v/>
      </c>
      <c r="G10" s="20">
        <f>MAX(0,C10+D10-E10)</f>
        <v/>
      </c>
      <c r="H10" s="19">
        <f>MAX(0,E10-F10)</f>
        <v/>
      </c>
      <c r="I10" s="21">
        <f>H10*50+G10*100</f>
        <v/>
      </c>
      <c r="J10" s="22">
        <f>J9+I10</f>
        <v/>
      </c>
      <c r="K10" s="23" t="n"/>
    </row>
    <row r="11">
      <c r="A11" s="24" t="n">
        <v>8</v>
      </c>
      <c r="B11" s="25">
        <f>Fabricante!F9</f>
        <v/>
      </c>
      <c r="C11" s="25">
        <f>'GAP-FM'!K11</f>
        <v/>
      </c>
      <c r="D11" s="25">
        <f>G10</f>
        <v/>
      </c>
      <c r="E11" s="25">
        <f>H10+B11</f>
        <v/>
      </c>
      <c r="F11" s="19">
        <f>MIN(E11,C11+D11)</f>
        <v/>
      </c>
      <c r="G11" s="20">
        <f>MAX(0,C11+D11-E11)</f>
        <v/>
      </c>
      <c r="H11" s="19">
        <f>MAX(0,E11-F11)</f>
        <v/>
      </c>
      <c r="I11" s="21">
        <f>H11*50+G11*100</f>
        <v/>
      </c>
      <c r="J11" s="22">
        <f>J10+I11</f>
        <v/>
      </c>
      <c r="K11" s="23" t="n"/>
    </row>
    <row r="12">
      <c r="A12" s="18" t="n">
        <v>9</v>
      </c>
      <c r="B12" s="3">
        <f>Fabricante!F10</f>
        <v/>
      </c>
      <c r="C12" s="3">
        <f>'GAP-FM'!K12</f>
        <v/>
      </c>
      <c r="D12" s="3">
        <f>G11</f>
        <v/>
      </c>
      <c r="E12" s="3">
        <f>H11+B12</f>
        <v/>
      </c>
      <c r="F12" s="19">
        <f>MIN(E12,C12+D12)</f>
        <v/>
      </c>
      <c r="G12" s="20">
        <f>MAX(0,C12+D12-E12)</f>
        <v/>
      </c>
      <c r="H12" s="19">
        <f>MAX(0,E12-F12)</f>
        <v/>
      </c>
      <c r="I12" s="21">
        <f>H12*50+G12*100</f>
        <v/>
      </c>
      <c r="J12" s="22">
        <f>J11+I12</f>
        <v/>
      </c>
      <c r="K12" s="23" t="n"/>
    </row>
    <row r="13">
      <c r="A13" s="24" t="n">
        <v>10</v>
      </c>
      <c r="B13" s="25">
        <f>Fabricante!F11</f>
        <v/>
      </c>
      <c r="C13" s="25">
        <f>'GAP-FM'!K13</f>
        <v/>
      </c>
      <c r="D13" s="25">
        <f>G12</f>
        <v/>
      </c>
      <c r="E13" s="25">
        <f>H12+B13</f>
        <v/>
      </c>
      <c r="F13" s="19">
        <f>MIN(E13,C13+D13)</f>
        <v/>
      </c>
      <c r="G13" s="20">
        <f>MAX(0,C13+D13-E13)</f>
        <v/>
      </c>
      <c r="H13" s="19">
        <f>MAX(0,E13-F13)</f>
        <v/>
      </c>
      <c r="I13" s="21">
        <f>H13*50+G13*100</f>
        <v/>
      </c>
      <c r="J13" s="22">
        <f>J12+I13</f>
        <v/>
      </c>
      <c r="K13" s="23" t="n"/>
    </row>
    <row r="14">
      <c r="A14" s="18" t="n">
        <v>11</v>
      </c>
      <c r="B14" s="3">
        <f>Fabricante!F12</f>
        <v/>
      </c>
      <c r="C14" s="3">
        <f>'GAP-FM'!K14</f>
        <v/>
      </c>
      <c r="D14" s="3">
        <f>G13</f>
        <v/>
      </c>
      <c r="E14" s="3">
        <f>H13+B14</f>
        <v/>
      </c>
      <c r="F14" s="19">
        <f>MIN(E14,C14+D14)</f>
        <v/>
      </c>
      <c r="G14" s="20">
        <f>MAX(0,C14+D14-E14)</f>
        <v/>
      </c>
      <c r="H14" s="19">
        <f>MAX(0,E14-F14)</f>
        <v/>
      </c>
      <c r="I14" s="21">
        <f>H14*50+G14*100</f>
        <v/>
      </c>
      <c r="J14" s="22">
        <f>J13+I14</f>
        <v/>
      </c>
      <c r="K14" s="23" t="n"/>
    </row>
    <row r="15">
      <c r="A15" s="24" t="n">
        <v>12</v>
      </c>
      <c r="B15" s="25">
        <f>Fabricante!F13</f>
        <v/>
      </c>
      <c r="C15" s="25">
        <f>'GAP-FM'!K15</f>
        <v/>
      </c>
      <c r="D15" s="25">
        <f>G14</f>
        <v/>
      </c>
      <c r="E15" s="25">
        <f>H14+B15</f>
        <v/>
      </c>
      <c r="F15" s="19">
        <f>MIN(E15,C15+D15)</f>
        <v/>
      </c>
      <c r="G15" s="20">
        <f>MAX(0,C15+D15-E15)</f>
        <v/>
      </c>
      <c r="H15" s="19">
        <f>MAX(0,E15-F15)</f>
        <v/>
      </c>
      <c r="I15" s="21">
        <f>H15*50+G15*100</f>
        <v/>
      </c>
      <c r="J15" s="22">
        <f>J14+I15</f>
        <v/>
      </c>
      <c r="K15" s="23" t="n"/>
    </row>
    <row r="16">
      <c r="A16" s="18" t="n">
        <v>13</v>
      </c>
      <c r="B16" s="3">
        <f>Fabricante!F14</f>
        <v/>
      </c>
      <c r="C16" s="3">
        <f>'GAP-FM'!K16</f>
        <v/>
      </c>
      <c r="D16" s="3">
        <f>G15</f>
        <v/>
      </c>
      <c r="E16" s="3">
        <f>H15+B16</f>
        <v/>
      </c>
      <c r="F16" s="19">
        <f>MIN(E16,C16+D16)</f>
        <v/>
      </c>
      <c r="G16" s="20">
        <f>MAX(0,C16+D16-E16)</f>
        <v/>
      </c>
      <c r="H16" s="19">
        <f>MAX(0,E16-F16)</f>
        <v/>
      </c>
      <c r="I16" s="21">
        <f>H16*50+G16*100</f>
        <v/>
      </c>
      <c r="J16" s="22">
        <f>J15+I16</f>
        <v/>
      </c>
      <c r="K16" s="23" t="n"/>
    </row>
    <row r="17">
      <c r="A17" s="24" t="n">
        <v>14</v>
      </c>
      <c r="B17" s="25">
        <f>Fabricante!F15</f>
        <v/>
      </c>
      <c r="C17" s="25">
        <f>'GAP-FM'!K17</f>
        <v/>
      </c>
      <c r="D17" s="25">
        <f>G16</f>
        <v/>
      </c>
      <c r="E17" s="25">
        <f>H16+B17</f>
        <v/>
      </c>
      <c r="F17" s="19">
        <f>MIN(E17,C17+D17)</f>
        <v/>
      </c>
      <c r="G17" s="20">
        <f>MAX(0,C17+D17-E17)</f>
        <v/>
      </c>
      <c r="H17" s="19">
        <f>MAX(0,E17-F17)</f>
        <v/>
      </c>
      <c r="I17" s="21">
        <f>H17*50+G17*100</f>
        <v/>
      </c>
      <c r="J17" s="22">
        <f>J16+I17</f>
        <v/>
      </c>
      <c r="K17" s="23" t="n"/>
    </row>
    <row r="18">
      <c r="A18" s="18" t="n">
        <v>15</v>
      </c>
      <c r="B18" s="3">
        <f>Fabricante!F16</f>
        <v/>
      </c>
      <c r="C18" s="3">
        <f>'GAP-FM'!K18</f>
        <v/>
      </c>
      <c r="D18" s="3">
        <f>G17</f>
        <v/>
      </c>
      <c r="E18" s="3">
        <f>H17+B18</f>
        <v/>
      </c>
      <c r="F18" s="19">
        <f>MIN(E18,C18+D18)</f>
        <v/>
      </c>
      <c r="G18" s="20">
        <f>MAX(0,C18+D18-E18)</f>
        <v/>
      </c>
      <c r="H18" s="19">
        <f>MAX(0,E18-F18)</f>
        <v/>
      </c>
      <c r="I18" s="21">
        <f>H18*50+G18*100</f>
        <v/>
      </c>
      <c r="J18" s="22">
        <f>J17+I18</f>
        <v/>
      </c>
      <c r="K18" s="23" t="n"/>
    </row>
    <row r="19">
      <c r="A19" s="26" t="inlineStr">
        <is>
          <t>TOTAL</t>
        </is>
      </c>
      <c r="B19" s="26" t="n"/>
      <c r="C19" s="26" t="n"/>
      <c r="D19" s="26" t="n"/>
      <c r="E19" s="26" t="n"/>
      <c r="F19" s="26" t="n"/>
      <c r="G19" s="26" t="n"/>
      <c r="H19" s="26" t="n"/>
      <c r="I19" s="27">
        <f>SUM(I4:I18)</f>
        <v/>
      </c>
      <c r="J19" s="27">
        <f>SUM(I4:I18)</f>
        <v/>
      </c>
      <c r="K19" s="26">
        <f>SUM(K4:K18)</f>
        <v/>
      </c>
    </row>
  </sheetData>
  <mergeCells count="2">
    <mergeCell ref="A2:K2"/>
    <mergeCell ref="A1:K1"/>
  </mergeCells>
  <dataValidations count="1">
    <dataValidation sqref="K4:K18" showDropDown="0" showInputMessage="0" showErrorMessage="1" allowBlank="0" errorTitle="Pedido inválido" error="Digite um número inteiro igual ou maior que 0." type="whole" operator="greaterThanOrEqual">
      <formula1>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11" customWidth="1" min="3" max="3"/>
    <col width="11" customWidth="1" min="4" max="4"/>
    <col width="10" customWidth="1" min="5" max="5"/>
    <col width="8" customWidth="1" min="6" max="6"/>
    <col width="11" customWidth="1" min="7" max="7"/>
    <col width="11" customWidth="1" min="8" max="8"/>
    <col width="13" customWidth="1" min="9" max="9"/>
    <col width="15" customWidth="1" min="10" max="10"/>
    <col width="14" customWidth="1" min="11" max="11"/>
  </cols>
  <sheetData>
    <row r="1" ht="21" customHeight="1">
      <c r="A1" s="5" t="inlineStr">
        <is>
          <t>🦑 OPERAÇÃO KRAKEN  |  FABRICANTE</t>
        </is>
      </c>
    </row>
    <row r="2">
      <c r="A2" s="6" t="inlineStr">
        <is>
          <t>⚠️  Preencha APENAS a coluna amarela "MEU PEDIDO". Não altere as outras células!</t>
        </is>
      </c>
    </row>
    <row r="3" ht="34" customHeight="1">
      <c r="A3" s="7" t="inlineStr">
        <is>
          <t>Semana</t>
        </is>
      </c>
      <c r="B3" s="8" t="inlineStr">
        <is>
          <t>Chegou</t>
        </is>
      </c>
      <c r="C3" s="9" t="inlineStr">
        <is>
          <t>Pedido
Recebido</t>
        </is>
      </c>
      <c r="D3" s="10" t="inlineStr">
        <is>
          <t>Backorder
Herdado</t>
        </is>
      </c>
      <c r="E3" s="11" t="inlineStr">
        <is>
          <t>Disponível</t>
        </is>
      </c>
      <c r="F3" s="12" t="inlineStr">
        <is>
          <t>Atendi</t>
        </is>
      </c>
      <c r="G3" s="13" t="inlineStr">
        <is>
          <t>Backorder
Novo</t>
        </is>
      </c>
      <c r="H3" s="14" t="inlineStr">
        <is>
          <t>Estoque
Final</t>
        </is>
      </c>
      <c r="I3" s="15" t="inlineStr">
        <is>
          <t>Custo
Semana</t>
        </is>
      </c>
      <c r="J3" s="16" t="inlineStr">
        <is>
          <t>Custo
Acumulado</t>
        </is>
      </c>
      <c r="K3" s="17" t="inlineStr">
        <is>
          <t>MEU
PEDIDO ▼</t>
        </is>
      </c>
    </row>
    <row r="4">
      <c r="A4" s="18" t="n">
        <v>1</v>
      </c>
      <c r="B4" s="3" t="n">
        <v>4</v>
      </c>
      <c r="C4" s="3">
        <f>SDAB!K4</f>
        <v/>
      </c>
      <c r="D4" s="3" t="n">
        <v>0</v>
      </c>
      <c r="E4" s="3">
        <f>8+B4</f>
        <v/>
      </c>
      <c r="F4" s="19">
        <f>MIN(E4,C4+D4)</f>
        <v/>
      </c>
      <c r="G4" s="20">
        <f>MAX(0,C4+D4-E4)</f>
        <v/>
      </c>
      <c r="H4" s="19">
        <f>MAX(0,E4-F4)</f>
        <v/>
      </c>
      <c r="I4" s="21">
        <f>H4*50+G4*100</f>
        <v/>
      </c>
      <c r="J4" s="22">
        <f>I4</f>
        <v/>
      </c>
      <c r="K4" s="23" t="n"/>
    </row>
    <row r="5">
      <c r="A5" s="24" t="n">
        <v>2</v>
      </c>
      <c r="B5" s="25" t="n">
        <v>4</v>
      </c>
      <c r="C5" s="25">
        <f>SDAB!K5</f>
        <v/>
      </c>
      <c r="D5" s="25">
        <f>G4</f>
        <v/>
      </c>
      <c r="E5" s="25">
        <f>H4+B5</f>
        <v/>
      </c>
      <c r="F5" s="19">
        <f>MIN(E5,C5+D5)</f>
        <v/>
      </c>
      <c r="G5" s="20">
        <f>MAX(0,C5+D5-E5)</f>
        <v/>
      </c>
      <c r="H5" s="19">
        <f>MAX(0,E5-F5)</f>
        <v/>
      </c>
      <c r="I5" s="21">
        <f>H5*50+G5*100</f>
        <v/>
      </c>
      <c r="J5" s="22">
        <f>J4+I5</f>
        <v/>
      </c>
      <c r="K5" s="23" t="n"/>
    </row>
    <row r="6">
      <c r="A6" s="18" t="n">
        <v>3</v>
      </c>
      <c r="B6" s="3">
        <f>K4</f>
        <v/>
      </c>
      <c r="C6" s="3">
        <f>SDAB!K6</f>
        <v/>
      </c>
      <c r="D6" s="3">
        <f>G5</f>
        <v/>
      </c>
      <c r="E6" s="3">
        <f>H5+B6</f>
        <v/>
      </c>
      <c r="F6" s="19">
        <f>MIN(E6,C6+D6)</f>
        <v/>
      </c>
      <c r="G6" s="20">
        <f>MAX(0,C6+D6-E6)</f>
        <v/>
      </c>
      <c r="H6" s="19">
        <f>MAX(0,E6-F6)</f>
        <v/>
      </c>
      <c r="I6" s="21">
        <f>H6*50+G6*100</f>
        <v/>
      </c>
      <c r="J6" s="22">
        <f>J5+I6</f>
        <v/>
      </c>
      <c r="K6" s="23" t="n"/>
    </row>
    <row r="7">
      <c r="A7" s="24" t="n">
        <v>4</v>
      </c>
      <c r="B7" s="25">
        <f>K5</f>
        <v/>
      </c>
      <c r="C7" s="25">
        <f>SDAB!K7</f>
        <v/>
      </c>
      <c r="D7" s="25">
        <f>G6</f>
        <v/>
      </c>
      <c r="E7" s="25">
        <f>H6+B7</f>
        <v/>
      </c>
      <c r="F7" s="19">
        <f>MIN(E7,C7+D7)</f>
        <v/>
      </c>
      <c r="G7" s="20">
        <f>MAX(0,C7+D7-E7)</f>
        <v/>
      </c>
      <c r="H7" s="19">
        <f>MAX(0,E7-F7)</f>
        <v/>
      </c>
      <c r="I7" s="21">
        <f>H7*50+G7*100</f>
        <v/>
      </c>
      <c r="J7" s="22">
        <f>J6+I7</f>
        <v/>
      </c>
      <c r="K7" s="23" t="n"/>
    </row>
    <row r="8">
      <c r="A8" s="18" t="n">
        <v>5</v>
      </c>
      <c r="B8" s="3">
        <f>K6</f>
        <v/>
      </c>
      <c r="C8" s="3">
        <f>SDAB!K8</f>
        <v/>
      </c>
      <c r="D8" s="3">
        <f>G7</f>
        <v/>
      </c>
      <c r="E8" s="3">
        <f>H7+B8</f>
        <v/>
      </c>
      <c r="F8" s="19">
        <f>MIN(E8,C8+D8)</f>
        <v/>
      </c>
      <c r="G8" s="20">
        <f>MAX(0,C8+D8-E8)</f>
        <v/>
      </c>
      <c r="H8" s="19">
        <f>MAX(0,E8-F8)</f>
        <v/>
      </c>
      <c r="I8" s="21">
        <f>H8*50+G8*100</f>
        <v/>
      </c>
      <c r="J8" s="22">
        <f>J7+I8</f>
        <v/>
      </c>
      <c r="K8" s="23" t="n"/>
    </row>
    <row r="9">
      <c r="A9" s="24" t="n">
        <v>6</v>
      </c>
      <c r="B9" s="25">
        <f>K7</f>
        <v/>
      </c>
      <c r="C9" s="25">
        <f>SDAB!K9</f>
        <v/>
      </c>
      <c r="D9" s="25">
        <f>G8</f>
        <v/>
      </c>
      <c r="E9" s="25">
        <f>H8+B9</f>
        <v/>
      </c>
      <c r="F9" s="19">
        <f>MIN(E9,C9+D9)</f>
        <v/>
      </c>
      <c r="G9" s="20">
        <f>MAX(0,C9+D9-E9)</f>
        <v/>
      </c>
      <c r="H9" s="19">
        <f>MAX(0,E9-F9)</f>
        <v/>
      </c>
      <c r="I9" s="21">
        <f>H9*50+G9*100</f>
        <v/>
      </c>
      <c r="J9" s="22">
        <f>J8+I9</f>
        <v/>
      </c>
      <c r="K9" s="23" t="n"/>
    </row>
    <row r="10">
      <c r="A10" s="18" t="n">
        <v>7</v>
      </c>
      <c r="B10" s="3">
        <f>K8</f>
        <v/>
      </c>
      <c r="C10" s="3">
        <f>SDAB!K10</f>
        <v/>
      </c>
      <c r="D10" s="3">
        <f>G9</f>
        <v/>
      </c>
      <c r="E10" s="3">
        <f>H9+B10</f>
        <v/>
      </c>
      <c r="F10" s="19">
        <f>MIN(E10,C10+D10)</f>
        <v/>
      </c>
      <c r="G10" s="20">
        <f>MAX(0,C10+D10-E10)</f>
        <v/>
      </c>
      <c r="H10" s="19">
        <f>MAX(0,E10-F10)</f>
        <v/>
      </c>
      <c r="I10" s="21">
        <f>H10*50+G10*100</f>
        <v/>
      </c>
      <c r="J10" s="22">
        <f>J9+I10</f>
        <v/>
      </c>
      <c r="K10" s="23" t="n"/>
    </row>
    <row r="11">
      <c r="A11" s="24" t="n">
        <v>8</v>
      </c>
      <c r="B11" s="25">
        <f>K9</f>
        <v/>
      </c>
      <c r="C11" s="25">
        <f>SDAB!K11</f>
        <v/>
      </c>
      <c r="D11" s="25">
        <f>G10</f>
        <v/>
      </c>
      <c r="E11" s="25">
        <f>H10+B11</f>
        <v/>
      </c>
      <c r="F11" s="19">
        <f>MIN(E11,C11+D11)</f>
        <v/>
      </c>
      <c r="G11" s="20">
        <f>MAX(0,C11+D11-E11)</f>
        <v/>
      </c>
      <c r="H11" s="19">
        <f>MAX(0,E11-F11)</f>
        <v/>
      </c>
      <c r="I11" s="21">
        <f>H11*50+G11*100</f>
        <v/>
      </c>
      <c r="J11" s="22">
        <f>J10+I11</f>
        <v/>
      </c>
      <c r="K11" s="23" t="n"/>
    </row>
    <row r="12">
      <c r="A12" s="18" t="n">
        <v>9</v>
      </c>
      <c r="B12" s="3">
        <f>K10</f>
        <v/>
      </c>
      <c r="C12" s="3">
        <f>SDAB!K12</f>
        <v/>
      </c>
      <c r="D12" s="3">
        <f>G11</f>
        <v/>
      </c>
      <c r="E12" s="3">
        <f>H11+B12</f>
        <v/>
      </c>
      <c r="F12" s="19">
        <f>MIN(E12,C12+D12)</f>
        <v/>
      </c>
      <c r="G12" s="20">
        <f>MAX(0,C12+D12-E12)</f>
        <v/>
      </c>
      <c r="H12" s="19">
        <f>MAX(0,E12-F12)</f>
        <v/>
      </c>
      <c r="I12" s="21">
        <f>H12*50+G12*100</f>
        <v/>
      </c>
      <c r="J12" s="22">
        <f>J11+I12</f>
        <v/>
      </c>
      <c r="K12" s="23" t="n"/>
    </row>
    <row r="13">
      <c r="A13" s="24" t="n">
        <v>10</v>
      </c>
      <c r="B13" s="25">
        <f>K11</f>
        <v/>
      </c>
      <c r="C13" s="25">
        <f>SDAB!K13</f>
        <v/>
      </c>
      <c r="D13" s="25">
        <f>G12</f>
        <v/>
      </c>
      <c r="E13" s="25">
        <f>H12+B13</f>
        <v/>
      </c>
      <c r="F13" s="19">
        <f>MIN(E13,C13+D13)</f>
        <v/>
      </c>
      <c r="G13" s="20">
        <f>MAX(0,C13+D13-E13)</f>
        <v/>
      </c>
      <c r="H13" s="19">
        <f>MAX(0,E13-F13)</f>
        <v/>
      </c>
      <c r="I13" s="21">
        <f>H13*50+G13*100</f>
        <v/>
      </c>
      <c r="J13" s="22">
        <f>J12+I13</f>
        <v/>
      </c>
      <c r="K13" s="23" t="n"/>
    </row>
    <row r="14">
      <c r="A14" s="18" t="n">
        <v>11</v>
      </c>
      <c r="B14" s="3">
        <f>K12</f>
        <v/>
      </c>
      <c r="C14" s="3">
        <f>SDAB!K14</f>
        <v/>
      </c>
      <c r="D14" s="3">
        <f>G13</f>
        <v/>
      </c>
      <c r="E14" s="3">
        <f>H13+B14</f>
        <v/>
      </c>
      <c r="F14" s="19">
        <f>MIN(E14,C14+D14)</f>
        <v/>
      </c>
      <c r="G14" s="20">
        <f>MAX(0,C14+D14-E14)</f>
        <v/>
      </c>
      <c r="H14" s="19">
        <f>MAX(0,E14-F14)</f>
        <v/>
      </c>
      <c r="I14" s="21">
        <f>H14*50+G14*100</f>
        <v/>
      </c>
      <c r="J14" s="22">
        <f>J13+I14</f>
        <v/>
      </c>
      <c r="K14" s="23" t="n"/>
    </row>
    <row r="15">
      <c r="A15" s="24" t="n">
        <v>12</v>
      </c>
      <c r="B15" s="25">
        <f>K13</f>
        <v/>
      </c>
      <c r="C15" s="25">
        <f>SDAB!K15</f>
        <v/>
      </c>
      <c r="D15" s="25">
        <f>G14</f>
        <v/>
      </c>
      <c r="E15" s="25">
        <f>H14+B15</f>
        <v/>
      </c>
      <c r="F15" s="19">
        <f>MIN(E15,C15+D15)</f>
        <v/>
      </c>
      <c r="G15" s="20">
        <f>MAX(0,C15+D15-E15)</f>
        <v/>
      </c>
      <c r="H15" s="19">
        <f>MAX(0,E15-F15)</f>
        <v/>
      </c>
      <c r="I15" s="21">
        <f>H15*50+G15*100</f>
        <v/>
      </c>
      <c r="J15" s="22">
        <f>J14+I15</f>
        <v/>
      </c>
      <c r="K15" s="23" t="n"/>
    </row>
    <row r="16">
      <c r="A16" s="18" t="n">
        <v>13</v>
      </c>
      <c r="B16" s="3">
        <f>K14</f>
        <v/>
      </c>
      <c r="C16" s="3">
        <f>SDAB!K16</f>
        <v/>
      </c>
      <c r="D16" s="3">
        <f>G15</f>
        <v/>
      </c>
      <c r="E16" s="3">
        <f>H15+B16</f>
        <v/>
      </c>
      <c r="F16" s="19">
        <f>MIN(E16,C16+D16)</f>
        <v/>
      </c>
      <c r="G16" s="20">
        <f>MAX(0,C16+D16-E16)</f>
        <v/>
      </c>
      <c r="H16" s="19">
        <f>MAX(0,E16-F16)</f>
        <v/>
      </c>
      <c r="I16" s="21">
        <f>H16*50+G16*100</f>
        <v/>
      </c>
      <c r="J16" s="22">
        <f>J15+I16</f>
        <v/>
      </c>
      <c r="K16" s="23" t="n"/>
    </row>
    <row r="17">
      <c r="A17" s="24" t="n">
        <v>14</v>
      </c>
      <c r="B17" s="25">
        <f>K15</f>
        <v/>
      </c>
      <c r="C17" s="25">
        <f>SDAB!K17</f>
        <v/>
      </c>
      <c r="D17" s="25">
        <f>G16</f>
        <v/>
      </c>
      <c r="E17" s="25">
        <f>H16+B17</f>
        <v/>
      </c>
      <c r="F17" s="19">
        <f>MIN(E17,C17+D17)</f>
        <v/>
      </c>
      <c r="G17" s="20">
        <f>MAX(0,C17+D17-E17)</f>
        <v/>
      </c>
      <c r="H17" s="19">
        <f>MAX(0,E17-F17)</f>
        <v/>
      </c>
      <c r="I17" s="21">
        <f>H17*50+G17*100</f>
        <v/>
      </c>
      <c r="J17" s="22">
        <f>J16+I17</f>
        <v/>
      </c>
      <c r="K17" s="23" t="n"/>
    </row>
    <row r="18">
      <c r="A18" s="18" t="n">
        <v>15</v>
      </c>
      <c r="B18" s="3">
        <f>K16</f>
        <v/>
      </c>
      <c r="C18" s="3">
        <f>SDAB!K18</f>
        <v/>
      </c>
      <c r="D18" s="3">
        <f>G17</f>
        <v/>
      </c>
      <c r="E18" s="3">
        <f>H17+B18</f>
        <v/>
      </c>
      <c r="F18" s="19">
        <f>MIN(E18,C18+D18)</f>
        <v/>
      </c>
      <c r="G18" s="20">
        <f>MAX(0,C18+D18-E18)</f>
        <v/>
      </c>
      <c r="H18" s="19">
        <f>MAX(0,E18-F18)</f>
        <v/>
      </c>
      <c r="I18" s="21">
        <f>H18*50+G18*100</f>
        <v/>
      </c>
      <c r="J18" s="22">
        <f>J17+I18</f>
        <v/>
      </c>
      <c r="K18" s="23" t="n"/>
    </row>
    <row r="19">
      <c r="A19" s="26" t="inlineStr">
        <is>
          <t>TOTAL</t>
        </is>
      </c>
      <c r="B19" s="26" t="n"/>
      <c r="C19" s="26" t="n"/>
      <c r="D19" s="26" t="n"/>
      <c r="E19" s="26" t="n"/>
      <c r="F19" s="26" t="n"/>
      <c r="G19" s="26" t="n"/>
      <c r="H19" s="26" t="n"/>
      <c r="I19" s="27">
        <f>SUM(I4:I18)</f>
        <v/>
      </c>
      <c r="J19" s="27">
        <f>SUM(I4:I18)</f>
        <v/>
      </c>
      <c r="K19" s="26">
        <f>SUM(K4:K18)</f>
        <v/>
      </c>
    </row>
  </sheetData>
  <mergeCells count="2">
    <mergeCell ref="A2:K2"/>
    <mergeCell ref="A1:K1"/>
  </mergeCells>
  <dataValidations count="1">
    <dataValidation sqref="K4:K18" showDropDown="0" showInputMessage="0" showErrorMessage="1" allowBlank="0" errorTitle="Pedido inválido" error="Digite um número inteiro igual ou maior que 0." type="whole" operator="greaterThanOrEqual">
      <formula1>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5" customHeight="1">
      <c r="A1" s="28" t="inlineStr">
        <is>
          <t>🦑 OPERAÇÃO KRAKEN — DEBRIEFING FINAL</t>
        </is>
      </c>
    </row>
    <row r="2">
      <c r="A2" s="29" t="inlineStr">
        <is>
          <t>⛔  Abra esta aba SOMENTE quando o instrutor autorizar!</t>
        </is>
      </c>
    </row>
    <row r="4" ht="21" customHeight="1">
      <c r="A4" s="30" t="inlineStr">
        <is>
          <t>📊  CUSTO TOTAL POR ELO DA CADEIA</t>
        </is>
      </c>
    </row>
    <row r="5">
      <c r="A5" s="26" t="inlineStr">
        <is>
          <t>Elo</t>
        </is>
      </c>
      <c r="B5" s="26" t="inlineStr">
        <is>
          <t>Papel</t>
        </is>
      </c>
      <c r="C5" s="26" t="inlineStr">
        <is>
          <t>Custo Total</t>
        </is>
      </c>
      <c r="D5" s="26" t="inlineStr">
        <is>
          <t>Total Pedido</t>
        </is>
      </c>
      <c r="E5" s="26" t="inlineStr">
        <is>
          <t>Maior Pedido</t>
        </is>
      </c>
      <c r="F5" s="26" t="inlineStr">
        <is>
          <t>Sem. c/ Falta</t>
        </is>
      </c>
    </row>
    <row r="6">
      <c r="A6" s="18" t="inlineStr">
        <is>
          <t>UCI</t>
        </is>
      </c>
      <c r="B6" s="31" t="inlineStr">
        <is>
          <t>Almox da UCI</t>
        </is>
      </c>
      <c r="C6" s="32">
        <f>UCI!J19</f>
        <v/>
      </c>
      <c r="D6" s="3">
        <f>UCI!K19</f>
        <v/>
      </c>
      <c r="E6" s="3">
        <f>MAX(UCI!K4:K18)</f>
        <v/>
      </c>
      <c r="F6" s="3">
        <f>COUNTIF(UCI!G4:G18,"&gt;0")</f>
        <v/>
      </c>
    </row>
    <row r="7">
      <c r="A7" s="24" t="inlineStr">
        <is>
          <t>BAFM</t>
        </is>
      </c>
      <c r="B7" s="33" t="inlineStr">
        <is>
          <t>Almox da BAFM</t>
        </is>
      </c>
      <c r="C7" s="34">
        <f>BAFM!J19</f>
        <v/>
      </c>
      <c r="D7" s="25">
        <f>BAFM!K19</f>
        <v/>
      </c>
      <c r="E7" s="25">
        <f>MAX(BAFM!K4:K18)</f>
        <v/>
      </c>
      <c r="F7" s="25">
        <f>COUNTIF(BAFM!G4:G18,"&gt;0")</f>
        <v/>
      </c>
    </row>
    <row r="8">
      <c r="A8" s="18" t="inlineStr">
        <is>
          <t>GAP-FM</t>
        </is>
      </c>
      <c r="B8" s="31" t="inlineStr">
        <is>
          <t>Almox do GAP-FM</t>
        </is>
      </c>
      <c r="C8" s="32">
        <f>'GAP-FM'!J19</f>
        <v/>
      </c>
      <c r="D8" s="3">
        <f>'GAP-FM'!K19</f>
        <v/>
      </c>
      <c r="E8" s="3">
        <f>MAX('GAP-FM'!K4:K18)</f>
        <v/>
      </c>
      <c r="F8" s="3">
        <f>COUNTIF('GAP-FM'!G4:G18,"&gt;0")</f>
        <v/>
      </c>
    </row>
    <row r="9">
      <c r="A9" s="24" t="inlineStr">
        <is>
          <t>SDAB</t>
        </is>
      </c>
      <c r="B9" s="33" t="inlineStr">
        <is>
          <t>Depósito Central da SDAB</t>
        </is>
      </c>
      <c r="C9" s="34">
        <f>SDAB!J19</f>
        <v/>
      </c>
      <c r="D9" s="25">
        <f>SDAB!K19</f>
        <v/>
      </c>
      <c r="E9" s="25">
        <f>MAX(SDAB!K4:K18)</f>
        <v/>
      </c>
      <c r="F9" s="25">
        <f>COUNTIF(SDAB!G4:G18,"&gt;0")</f>
        <v/>
      </c>
    </row>
    <row r="10">
      <c r="A10" s="18" t="inlineStr">
        <is>
          <t>Fabricante</t>
        </is>
      </c>
      <c r="B10" s="31" t="inlineStr">
        <is>
          <t>Fabricante</t>
        </is>
      </c>
      <c r="C10" s="32">
        <f>Fabricante!J19</f>
        <v/>
      </c>
      <c r="D10" s="3">
        <f>Fabricante!K19</f>
        <v/>
      </c>
      <c r="E10" s="3">
        <f>MAX(Fabricante!K4:K18)</f>
        <v/>
      </c>
      <c r="F10" s="3">
        <f>COUNTIF(Fabricante!G4:G18,"&gt;0")</f>
        <v/>
      </c>
    </row>
    <row r="11">
      <c r="A11" s="35" t="inlineStr">
        <is>
          <t>CUSTO TOTAL DO GRUPO</t>
        </is>
      </c>
      <c r="B11" s="36" t="n"/>
      <c r="C11" s="37">
        <f>SUM(C6:C10)</f>
        <v/>
      </c>
    </row>
    <row r="13" ht="21" customHeight="1">
      <c r="A13" s="30" t="inlineStr">
        <is>
          <t>📈  PEDIDOS POR SEMANA — EFEITO CHICOTE</t>
        </is>
      </c>
    </row>
    <row r="14">
      <c r="A14" s="26" t="inlineStr">
        <is>
          <t>Semana</t>
        </is>
      </c>
      <c r="B14" s="26" t="inlineStr">
        <is>
          <t>Demanda</t>
        </is>
      </c>
      <c r="C14" s="26" t="inlineStr">
        <is>
          <t>UCI</t>
        </is>
      </c>
      <c r="D14" s="26" t="inlineStr">
        <is>
          <t>BAFM</t>
        </is>
      </c>
      <c r="E14" s="26" t="inlineStr">
        <is>
          <t>GAP-FM</t>
        </is>
      </c>
      <c r="F14" s="26" t="inlineStr">
        <is>
          <t>SDAB</t>
        </is>
      </c>
      <c r="G14" s="26" t="inlineStr">
        <is>
          <t>Fabricante</t>
        </is>
      </c>
    </row>
    <row r="15">
      <c r="A15" s="3" t="n">
        <v>1</v>
      </c>
      <c r="B15" s="3">
        <f>DEMANDA!B3</f>
        <v/>
      </c>
      <c r="C15" s="3">
        <f>UCI!K4</f>
        <v/>
      </c>
      <c r="D15" s="3">
        <f>BAFM!K4</f>
        <v/>
      </c>
      <c r="E15" s="3">
        <f>'GAP-FM'!K4</f>
        <v/>
      </c>
      <c r="F15" s="3">
        <f>SDAB!K4</f>
        <v/>
      </c>
      <c r="G15" s="3">
        <f>Fabricante!K4</f>
        <v/>
      </c>
    </row>
    <row r="16">
      <c r="A16" s="25" t="n">
        <v>2</v>
      </c>
      <c r="B16" s="25">
        <f>DEMANDA!B4</f>
        <v/>
      </c>
      <c r="C16" s="25">
        <f>UCI!K5</f>
        <v/>
      </c>
      <c r="D16" s="25">
        <f>BAFM!K5</f>
        <v/>
      </c>
      <c r="E16" s="25">
        <f>'GAP-FM'!K5</f>
        <v/>
      </c>
      <c r="F16" s="25">
        <f>SDAB!K5</f>
        <v/>
      </c>
      <c r="G16" s="25">
        <f>Fabricante!K5</f>
        <v/>
      </c>
    </row>
    <row r="17">
      <c r="A17" s="3" t="n">
        <v>3</v>
      </c>
      <c r="B17" s="3">
        <f>DEMANDA!B5</f>
        <v/>
      </c>
      <c r="C17" s="3">
        <f>UCI!K6</f>
        <v/>
      </c>
      <c r="D17" s="3">
        <f>BAFM!K6</f>
        <v/>
      </c>
      <c r="E17" s="3">
        <f>'GAP-FM'!K6</f>
        <v/>
      </c>
      <c r="F17" s="3">
        <f>SDAB!K6</f>
        <v/>
      </c>
      <c r="G17" s="3">
        <f>Fabricante!K6</f>
        <v/>
      </c>
    </row>
    <row r="18">
      <c r="A18" s="25" t="n">
        <v>4</v>
      </c>
      <c r="B18" s="25">
        <f>DEMANDA!B6</f>
        <v/>
      </c>
      <c r="C18" s="25">
        <f>UCI!K7</f>
        <v/>
      </c>
      <c r="D18" s="25">
        <f>BAFM!K7</f>
        <v/>
      </c>
      <c r="E18" s="25">
        <f>'GAP-FM'!K7</f>
        <v/>
      </c>
      <c r="F18" s="25">
        <f>SDAB!K7</f>
        <v/>
      </c>
      <c r="G18" s="25">
        <f>Fabricante!K7</f>
        <v/>
      </c>
    </row>
    <row r="19">
      <c r="A19" s="3" t="n">
        <v>5</v>
      </c>
      <c r="B19" s="3">
        <f>DEMANDA!B7</f>
        <v/>
      </c>
      <c r="C19" s="3">
        <f>UCI!K8</f>
        <v/>
      </c>
      <c r="D19" s="3">
        <f>BAFM!K8</f>
        <v/>
      </c>
      <c r="E19" s="3">
        <f>'GAP-FM'!K8</f>
        <v/>
      </c>
      <c r="F19" s="3">
        <f>SDAB!K8</f>
        <v/>
      </c>
      <c r="G19" s="3">
        <f>Fabricante!K8</f>
        <v/>
      </c>
    </row>
    <row r="20">
      <c r="A20" s="25" t="n">
        <v>6</v>
      </c>
      <c r="B20" s="25">
        <f>DEMANDA!B8</f>
        <v/>
      </c>
      <c r="C20" s="25">
        <f>UCI!K9</f>
        <v/>
      </c>
      <c r="D20" s="25">
        <f>BAFM!K9</f>
        <v/>
      </c>
      <c r="E20" s="25">
        <f>'GAP-FM'!K9</f>
        <v/>
      </c>
      <c r="F20" s="25">
        <f>SDAB!K9</f>
        <v/>
      </c>
      <c r="G20" s="25">
        <f>Fabricante!K9</f>
        <v/>
      </c>
    </row>
    <row r="21">
      <c r="A21" s="3" t="n">
        <v>7</v>
      </c>
      <c r="B21" s="3">
        <f>DEMANDA!B9</f>
        <v/>
      </c>
      <c r="C21" s="3">
        <f>UCI!K10</f>
        <v/>
      </c>
      <c r="D21" s="3">
        <f>BAFM!K10</f>
        <v/>
      </c>
      <c r="E21" s="3">
        <f>'GAP-FM'!K10</f>
        <v/>
      </c>
      <c r="F21" s="3">
        <f>SDAB!K10</f>
        <v/>
      </c>
      <c r="G21" s="3">
        <f>Fabricante!K10</f>
        <v/>
      </c>
    </row>
    <row r="22">
      <c r="A22" s="25" t="n">
        <v>8</v>
      </c>
      <c r="B22" s="25">
        <f>DEMANDA!B10</f>
        <v/>
      </c>
      <c r="C22" s="25">
        <f>UCI!K11</f>
        <v/>
      </c>
      <c r="D22" s="25">
        <f>BAFM!K11</f>
        <v/>
      </c>
      <c r="E22" s="25">
        <f>'GAP-FM'!K11</f>
        <v/>
      </c>
      <c r="F22" s="25">
        <f>SDAB!K11</f>
        <v/>
      </c>
      <c r="G22" s="25">
        <f>Fabricante!K11</f>
        <v/>
      </c>
    </row>
    <row r="23">
      <c r="A23" s="3" t="n">
        <v>9</v>
      </c>
      <c r="B23" s="3">
        <f>DEMANDA!B11</f>
        <v/>
      </c>
      <c r="C23" s="3">
        <f>UCI!K12</f>
        <v/>
      </c>
      <c r="D23" s="3">
        <f>BAFM!K12</f>
        <v/>
      </c>
      <c r="E23" s="3">
        <f>'GAP-FM'!K12</f>
        <v/>
      </c>
      <c r="F23" s="3">
        <f>SDAB!K12</f>
        <v/>
      </c>
      <c r="G23" s="3">
        <f>Fabricante!K12</f>
        <v/>
      </c>
    </row>
    <row r="24">
      <c r="A24" s="25" t="n">
        <v>10</v>
      </c>
      <c r="B24" s="25">
        <f>DEMANDA!B12</f>
        <v/>
      </c>
      <c r="C24" s="25">
        <f>UCI!K13</f>
        <v/>
      </c>
      <c r="D24" s="25">
        <f>BAFM!K13</f>
        <v/>
      </c>
      <c r="E24" s="25">
        <f>'GAP-FM'!K13</f>
        <v/>
      </c>
      <c r="F24" s="25">
        <f>SDAB!K13</f>
        <v/>
      </c>
      <c r="G24" s="25">
        <f>Fabricante!K13</f>
        <v/>
      </c>
    </row>
    <row r="25">
      <c r="A25" s="3" t="n">
        <v>11</v>
      </c>
      <c r="B25" s="3">
        <f>DEMANDA!B13</f>
        <v/>
      </c>
      <c r="C25" s="3">
        <f>UCI!K14</f>
        <v/>
      </c>
      <c r="D25" s="3">
        <f>BAFM!K14</f>
        <v/>
      </c>
      <c r="E25" s="3">
        <f>'GAP-FM'!K14</f>
        <v/>
      </c>
      <c r="F25" s="3">
        <f>SDAB!K14</f>
        <v/>
      </c>
      <c r="G25" s="3">
        <f>Fabricante!K14</f>
        <v/>
      </c>
    </row>
    <row r="26">
      <c r="A26" s="25" t="n">
        <v>12</v>
      </c>
      <c r="B26" s="25">
        <f>DEMANDA!B14</f>
        <v/>
      </c>
      <c r="C26" s="25">
        <f>UCI!K15</f>
        <v/>
      </c>
      <c r="D26" s="25">
        <f>BAFM!K15</f>
        <v/>
      </c>
      <c r="E26" s="25">
        <f>'GAP-FM'!K15</f>
        <v/>
      </c>
      <c r="F26" s="25">
        <f>SDAB!K15</f>
        <v/>
      </c>
      <c r="G26" s="25">
        <f>Fabricante!K15</f>
        <v/>
      </c>
    </row>
    <row r="27">
      <c r="A27" s="3" t="n">
        <v>13</v>
      </c>
      <c r="B27" s="3">
        <f>DEMANDA!B15</f>
        <v/>
      </c>
      <c r="C27" s="3">
        <f>UCI!K16</f>
        <v/>
      </c>
      <c r="D27" s="3">
        <f>BAFM!K16</f>
        <v/>
      </c>
      <c r="E27" s="3">
        <f>'GAP-FM'!K16</f>
        <v/>
      </c>
      <c r="F27" s="3">
        <f>SDAB!K16</f>
        <v/>
      </c>
      <c r="G27" s="3">
        <f>Fabricante!K16</f>
        <v/>
      </c>
    </row>
    <row r="28">
      <c r="A28" s="25" t="n">
        <v>14</v>
      </c>
      <c r="B28" s="25">
        <f>DEMANDA!B16</f>
        <v/>
      </c>
      <c r="C28" s="25">
        <f>UCI!K17</f>
        <v/>
      </c>
      <c r="D28" s="25">
        <f>BAFM!K17</f>
        <v/>
      </c>
      <c r="E28" s="25">
        <f>'GAP-FM'!K17</f>
        <v/>
      </c>
      <c r="F28" s="25">
        <f>SDAB!K17</f>
        <v/>
      </c>
      <c r="G28" s="25">
        <f>Fabricante!K17</f>
        <v/>
      </c>
    </row>
    <row r="29">
      <c r="A29" s="3" t="n">
        <v>15</v>
      </c>
      <c r="B29" s="3">
        <f>DEMANDA!B17</f>
        <v/>
      </c>
      <c r="C29" s="3">
        <f>UCI!K18</f>
        <v/>
      </c>
      <c r="D29" s="3">
        <f>BAFM!K18</f>
        <v/>
      </c>
      <c r="E29" s="3">
        <f>'GAP-FM'!K18</f>
        <v/>
      </c>
      <c r="F29" s="3">
        <f>SDAB!K18</f>
        <v/>
      </c>
      <c r="G29" s="3">
        <f>Fabricante!K18</f>
        <v/>
      </c>
    </row>
    <row r="52" ht="21" customHeight="1">
      <c r="A52" s="5" t="inlineStr">
        <is>
          <t>💬  PERGUNTAS PARA REFLEXÃO</t>
        </is>
      </c>
    </row>
    <row r="53">
      <c r="A53" s="38" t="inlineStr">
        <is>
          <t>1. Alguém pediu mais do que a demanda real? Por quê isso aconteceu?</t>
        </is>
      </c>
    </row>
    <row r="54" ht="50" customHeight="1">
      <c r="A54" s="39" t="inlineStr">
        <is>
          <t>Resposta do grupo...</t>
        </is>
      </c>
    </row>
    <row r="56">
      <c r="A56" s="38" t="inlineStr">
        <is>
          <t>2. Em qual elo a amplificação foi maior? O que o gráfico mostra?</t>
        </is>
      </c>
    </row>
    <row r="57" ht="50" customHeight="1">
      <c r="A57" s="39" t="inlineStr">
        <is>
          <t>Resposta do grupo...</t>
        </is>
      </c>
    </row>
    <row r="59">
      <c r="A59" s="38" t="inlineStr">
        <is>
          <t>3. A Fábrica foi incompetente — ou estava reagindo racionalmente ao que via?</t>
        </is>
      </c>
    </row>
    <row r="60" ht="50" customHeight="1">
      <c r="A60" s="39" t="inlineStr">
        <is>
          <t>Resposta do grupo...</t>
        </is>
      </c>
    </row>
    <row r="62">
      <c r="A62" s="38" t="inlineStr">
        <is>
          <t>4. O que mudaria se TODOS os elos conhecessem a demanda real desde o início?</t>
        </is>
      </c>
    </row>
    <row r="63" ht="50" customHeight="1">
      <c r="A63" s="39" t="inlineStr">
        <is>
          <t>Resposta do grupo...</t>
        </is>
      </c>
    </row>
    <row r="65">
      <c r="A65" s="38" t="inlineStr">
        <is>
          <t>5. Como a previsão sazonal e a Curva ABC ajudam a evitar o Efeito Chicote?</t>
        </is>
      </c>
    </row>
    <row r="66" ht="50" customHeight="1">
      <c r="A66" s="39" t="inlineStr">
        <is>
          <t>Resposta do grupo...</t>
        </is>
      </c>
    </row>
  </sheetData>
  <mergeCells count="16">
    <mergeCell ref="A52:I52"/>
    <mergeCell ref="A59:I59"/>
    <mergeCell ref="A65:I65"/>
    <mergeCell ref="A57:I57"/>
    <mergeCell ref="A2:I2"/>
    <mergeCell ref="A63:I63"/>
    <mergeCell ref="A60:I60"/>
    <mergeCell ref="A13:I13"/>
    <mergeCell ref="A11:B11"/>
    <mergeCell ref="A66:I66"/>
    <mergeCell ref="A1:I1"/>
    <mergeCell ref="A56:I56"/>
    <mergeCell ref="A53:I53"/>
    <mergeCell ref="A4:I4"/>
    <mergeCell ref="A62:I62"/>
    <mergeCell ref="A54:I5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2026-04-09T12:41:09Z</dcterms:created>
  <dcterms:modified xsi:type="dcterms:W3CDTF">2026-04-09T12:41:09Z</dcterms:modified>
</cp:coreProperties>
</file>